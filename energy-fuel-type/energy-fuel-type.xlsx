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04BF88AD-E5A7-403F-B345-9FF9EB569F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ocabulary" sheetId="4" r:id="rId1"/>
    <sheet name="Delegated Regulatio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4" l="1"/>
  <c r="A39" i="4"/>
  <c r="A38" i="4"/>
  <c r="E37" i="4" s="1"/>
  <c r="A37" i="4"/>
  <c r="F39" i="4" s="1"/>
  <c r="A34" i="4"/>
  <c r="A35" i="4"/>
  <c r="A36" i="4"/>
  <c r="A28" i="4"/>
  <c r="A29" i="4"/>
  <c r="A30" i="4"/>
  <c r="A31" i="4"/>
  <c r="A32" i="4"/>
  <c r="F36" i="4" s="1"/>
  <c r="A33" i="4"/>
  <c r="A27" i="4"/>
  <c r="E26" i="4" s="1"/>
  <c r="A26" i="4"/>
  <c r="F31" i="4" s="1"/>
  <c r="A25" i="4"/>
  <c r="A24" i="4"/>
  <c r="A22" i="4"/>
  <c r="A21" i="4"/>
  <c r="B13" i="4"/>
  <c r="E32" i="4" l="1"/>
  <c r="F25" i="4"/>
  <c r="F23" i="4"/>
  <c r="E21" i="4"/>
  <c r="F27" i="4"/>
  <c r="F28" i="4"/>
  <c r="F29" i="4"/>
  <c r="F30" i="4"/>
  <c r="F33" i="4"/>
  <c r="F34" i="4"/>
  <c r="F35" i="4"/>
  <c r="F38" i="4"/>
  <c r="F22" i="4"/>
  <c r="F24" i="4"/>
</calcChain>
</file>

<file path=xl/sharedStrings.xml><?xml version="1.0" encoding="utf-8"?>
<sst xmlns="http://schemas.openxmlformats.org/spreadsheetml/2006/main" count="87" uniqueCount="65">
  <si>
    <t>ConceptScheme URI</t>
  </si>
  <si>
    <t>dct:title</t>
  </si>
  <si>
    <t>dct:description</t>
  </si>
  <si>
    <t>dct:creator</t>
  </si>
  <si>
    <t>Mario Scrocca (Cefriel)</t>
  </si>
  <si>
    <t>dct:publisher</t>
  </si>
  <si>
    <t>NAPCORE WG4 Task 4.4</t>
  </si>
  <si>
    <t>dct:contributor</t>
  </si>
  <si>
    <t>Valentina Carriero (Cefriel)</t>
  </si>
  <si>
    <t>owl:versionInfo</t>
  </si>
  <si>
    <t>owl:versionIRI</t>
  </si>
  <si>
    <t>owl:priorVersion</t>
  </si>
  <si>
    <t>dct:license</t>
  </si>
  <si>
    <t>https://creativecommons.org/licenses/by/4.0/</t>
  </si>
  <si>
    <t>http://purl.org/ontology/bibo/status</t>
  </si>
  <si>
    <t>URI</t>
  </si>
  <si>
    <t>skos:prefLabel@en</t>
  </si>
  <si>
    <t>skos:prefLabel@de</t>
  </si>
  <si>
    <t>skos:definition</t>
  </si>
  <si>
    <t>skos:narrower</t>
  </si>
  <si>
    <t>skos:broader</t>
  </si>
  <si>
    <t>owl:deprecated^^xsd:boolean</t>
  </si>
  <si>
    <t>http://data.europa.eu/r5r/applicableLegislation</t>
  </si>
  <si>
    <t>https://w3id.org/mobilitydcat-ap/energy-fuel-type</t>
  </si>
  <si>
    <t>Controlled vocabulary for the energy and fuel types covered by a dataset.</t>
  </si>
  <si>
    <t>Petr Bures (TamTam Research)</t>
  </si>
  <si>
    <t xml:space="preserve">Sara Guerra de Oliveira (University of Maribor) </t>
  </si>
  <si>
    <t>Ed Ooms (NDW)</t>
  </si>
  <si>
    <t>Zero-emission energy types</t>
  </si>
  <si>
    <t>http://data.europa.eu/eli/reg/2023/1804/oj</t>
  </si>
  <si>
    <t>Electricity AC</t>
  </si>
  <si>
    <t>Electricity DC</t>
  </si>
  <si>
    <t>Hydrogen</t>
  </si>
  <si>
    <t>Ammonia</t>
  </si>
  <si>
    <t>Renewable fuels</t>
  </si>
  <si>
    <t>Biomass-fuel</t>
  </si>
  <si>
    <t>Biofuel</t>
  </si>
  <si>
    <t>Biogas</t>
  </si>
  <si>
    <t>Renewable synthetic fuel</t>
  </si>
  <si>
    <t>Renewable ammonia</t>
  </si>
  <si>
    <t>Non‑renewable alternative and transitional fossil fuels</t>
  </si>
  <si>
    <t>Compressed natural gas</t>
  </si>
  <si>
    <t>Liquefied natural gas</t>
  </si>
  <si>
    <t>Liquefied petroleum gas</t>
  </si>
  <si>
    <t>Non-renewable synthetic fuel</t>
  </si>
  <si>
    <t>Fossil fuels</t>
  </si>
  <si>
    <t>Petrol</t>
  </si>
  <si>
    <t>Diesel</t>
  </si>
  <si>
    <t>Class URI</t>
  </si>
  <si>
    <t>http://data.europa.eu/eli/ontology#LegalResource</t>
  </si>
  <si>
    <t>PREFIX</t>
  </si>
  <si>
    <t>eli</t>
  </si>
  <si>
    <t>http://data.europa.eu/eli/ontology#</t>
  </si>
  <si>
    <t>rdf:type</t>
  </si>
  <si>
    <t>rdfs:label@en</t>
  </si>
  <si>
    <t>rdfs:description@en</t>
  </si>
  <si>
    <t>eli:LegalResource</t>
  </si>
  <si>
    <t>Alternative Fuel Infrastructure Regulation (AFIR) - Regulation No 2023/1804</t>
  </si>
  <si>
    <t>Regulation (EU) 2023/1804 of the European Parliament and of the Council of 13 September 2023 on the deployment of alternative fuels infrastructure, and repealing Directive 2014/94/EU</t>
  </si>
  <si>
    <t>Energy Fuel Type</t>
  </si>
  <si>
    <t>1.0.0</t>
  </si>
  <si>
    <t>Darko Ilić (ASTRA)</t>
  </si>
  <si>
    <t>Hilde Austlid (Norwegian Public Roads Administration, Statens vegvesen)</t>
  </si>
  <si>
    <t>Published Controlled Vocabulary</t>
  </si>
  <si>
    <t>dcterms:isReplacedBy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</si>
</sst>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 applyFill="1"/>
    <xf numFmtId="0" fontId="2" fillId="0" borderId="0" xfId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mobilitydcat-ap/energy-fuel-type" TargetMode="External"/><Relationship Id="rId2" Type="http://schemas.openxmlformats.org/officeDocument/2006/relationships/hyperlink" Target="http://data.europa.eu/r5r/applicableLegislation" TargetMode="External"/><Relationship Id="rId1" Type="http://schemas.openxmlformats.org/officeDocument/2006/relationships/hyperlink" Target="https://creativecommons.org/licenses/by/4.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europa.eu/eli/ontology" TargetMode="External"/><Relationship Id="rId1" Type="http://schemas.openxmlformats.org/officeDocument/2006/relationships/hyperlink" Target="http://data.europa.eu/eli/ont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E9CF-7EDF-4777-B707-6107C91710E5}">
  <dimension ref="A1:I44"/>
  <sheetViews>
    <sheetView tabSelected="1" workbookViewId="0">
      <selection activeCell="H20" sqref="H20"/>
    </sheetView>
  </sheetViews>
  <sheetFormatPr defaultRowHeight="14.4" x14ac:dyDescent="0.3"/>
  <cols>
    <col min="1" max="1" width="98.44140625" bestFit="1" customWidth="1"/>
    <col min="2" max="2" width="77" customWidth="1"/>
    <col min="3" max="3" width="36.88671875" customWidth="1"/>
    <col min="4" max="4" width="51.109375" customWidth="1"/>
    <col min="5" max="5" width="92.44140625" customWidth="1"/>
    <col min="6" max="6" width="75.5546875" customWidth="1"/>
    <col min="7" max="7" width="34" customWidth="1"/>
    <col min="8" max="8" width="81.88671875" customWidth="1"/>
    <col min="9" max="9" width="58.44140625" customWidth="1"/>
  </cols>
  <sheetData>
    <row r="1" spans="1:2" x14ac:dyDescent="0.3">
      <c r="A1" s="4" t="s">
        <v>0</v>
      </c>
      <c r="B1" s="5" t="s">
        <v>23</v>
      </c>
    </row>
    <row r="2" spans="1:2" x14ac:dyDescent="0.3">
      <c r="A2" s="4" t="s">
        <v>1</v>
      </c>
      <c r="B2" t="s">
        <v>59</v>
      </c>
    </row>
    <row r="3" spans="1:2" x14ac:dyDescent="0.3">
      <c r="A3" s="4" t="s">
        <v>2</v>
      </c>
      <c r="B3" t="s">
        <v>24</v>
      </c>
    </row>
    <row r="4" spans="1:2" x14ac:dyDescent="0.3">
      <c r="A4" s="4" t="s">
        <v>3</v>
      </c>
      <c r="B4" t="s">
        <v>8</v>
      </c>
    </row>
    <row r="5" spans="1:2" x14ac:dyDescent="0.3">
      <c r="A5" s="4" t="s">
        <v>3</v>
      </c>
      <c r="B5" t="s">
        <v>4</v>
      </c>
    </row>
    <row r="6" spans="1:2" x14ac:dyDescent="0.3">
      <c r="A6" s="4" t="s">
        <v>5</v>
      </c>
      <c r="B6" t="s">
        <v>6</v>
      </c>
    </row>
    <row r="7" spans="1:2" x14ac:dyDescent="0.3">
      <c r="A7" s="4" t="s">
        <v>7</v>
      </c>
      <c r="B7" t="s">
        <v>25</v>
      </c>
    </row>
    <row r="8" spans="1:2" x14ac:dyDescent="0.3">
      <c r="A8" s="4" t="s">
        <v>7</v>
      </c>
      <c r="B8" t="s">
        <v>26</v>
      </c>
    </row>
    <row r="9" spans="1:2" x14ac:dyDescent="0.3">
      <c r="A9" s="4" t="s">
        <v>7</v>
      </c>
      <c r="B9" t="s">
        <v>27</v>
      </c>
    </row>
    <row r="10" spans="1:2" x14ac:dyDescent="0.3">
      <c r="A10" s="4" t="s">
        <v>7</v>
      </c>
      <c r="B10" t="s">
        <v>62</v>
      </c>
    </row>
    <row r="11" spans="1:2" x14ac:dyDescent="0.3">
      <c r="A11" s="4" t="s">
        <v>7</v>
      </c>
      <c r="B11" t="s">
        <v>61</v>
      </c>
    </row>
    <row r="12" spans="1:2" x14ac:dyDescent="0.3">
      <c r="A12" s="4" t="s">
        <v>9</v>
      </c>
      <c r="B12" t="s">
        <v>60</v>
      </c>
    </row>
    <row r="13" spans="1:2" x14ac:dyDescent="0.3">
      <c r="A13" s="4" t="s">
        <v>10</v>
      </c>
      <c r="B13" t="str">
        <f>_xlfn.CONCAT(B1,"/",B12)</f>
        <v>https://w3id.org/mobilitydcat-ap/energy-fuel-type/1.0.0</v>
      </c>
    </row>
    <row r="14" spans="1:2" x14ac:dyDescent="0.3">
      <c r="A14" s="4" t="s">
        <v>11</v>
      </c>
      <c r="B14" s="6"/>
    </row>
    <row r="15" spans="1:2" x14ac:dyDescent="0.3">
      <c r="A15" s="4" t="s">
        <v>12</v>
      </c>
      <c r="B15" s="6" t="s">
        <v>13</v>
      </c>
    </row>
    <row r="16" spans="1:2" x14ac:dyDescent="0.3">
      <c r="A16" s="4" t="s">
        <v>14</v>
      </c>
      <c r="B16" t="s">
        <v>63</v>
      </c>
    </row>
    <row r="20" spans="1:9" x14ac:dyDescent="0.3">
      <c r="A20" s="2" t="s">
        <v>15</v>
      </c>
      <c r="B20" s="2" t="s">
        <v>16</v>
      </c>
      <c r="C20" s="2" t="s">
        <v>17</v>
      </c>
      <c r="D20" s="3" t="s">
        <v>18</v>
      </c>
      <c r="E20" s="3" t="s">
        <v>19</v>
      </c>
      <c r="F20" s="2" t="s">
        <v>20</v>
      </c>
      <c r="G20" s="2" t="s">
        <v>21</v>
      </c>
      <c r="H20" s="3" t="s">
        <v>64</v>
      </c>
      <c r="I20" s="3" t="s">
        <v>22</v>
      </c>
    </row>
    <row r="21" spans="1:9" ht="73.5" customHeight="1" x14ac:dyDescent="0.3">
      <c r="A21" s="9" t="str">
        <f t="shared" ref="A21" si="0">_xlfn.CONCAT($B$1,"/",SUBSTITUTE(SUBSTITUTE(LOWER(SUBSTITUTE(B21,"/","-"))," ","-"),",",""))</f>
        <v>https://w3id.org/mobilitydcat-ap/energy-fuel-type/zero-emission-energy-types</v>
      </c>
      <c r="B21" s="8" t="s">
        <v>28</v>
      </c>
      <c r="C21" s="7"/>
      <c r="D21" s="12"/>
      <c r="E21" s="10" t="str">
        <f>_xlfn.TEXTJOIN(", ",,A22:A25)</f>
        <v>https://w3id.org/mobilitydcat-ap/energy-fuel-type/electricity-ac, https://w3id.org/mobilitydcat-ap/energy-fuel-type/electricity-dc, https://w3id.org/mobilitydcat-ap/energy-fuel-type/hydrogen, https://w3id.org/mobilitydcat-ap/energy-fuel-type/ammonia</v>
      </c>
      <c r="F21" s="10"/>
      <c r="H21" s="1"/>
      <c r="I21" t="s">
        <v>29</v>
      </c>
    </row>
    <row r="22" spans="1:9" x14ac:dyDescent="0.3">
      <c r="A22" s="9" t="str">
        <f t="shared" ref="A22:A23" si="1">_xlfn.CONCAT($B$1,"/",SUBSTITUTE(SUBSTITUTE(LOWER(SUBSTITUTE(B22,"/","-"))," ","-"),",",""))</f>
        <v>https://w3id.org/mobilitydcat-ap/energy-fuel-type/electricity-ac</v>
      </c>
      <c r="B22" s="7" t="s">
        <v>30</v>
      </c>
      <c r="C22" s="7"/>
      <c r="D22" s="12"/>
      <c r="E22" s="10"/>
      <c r="F22" s="10" t="str">
        <f>A21</f>
        <v>https://w3id.org/mobilitydcat-ap/energy-fuel-type/zero-emission-energy-types</v>
      </c>
      <c r="H22" s="1"/>
      <c r="I22" t="s">
        <v>29</v>
      </c>
    </row>
    <row r="23" spans="1:9" x14ac:dyDescent="0.3">
      <c r="A23" s="9" t="str">
        <f t="shared" si="1"/>
        <v>https://w3id.org/mobilitydcat-ap/energy-fuel-type/electricity-dc</v>
      </c>
      <c r="B23" s="7" t="s">
        <v>31</v>
      </c>
      <c r="C23" s="7"/>
      <c r="D23" s="12"/>
      <c r="E23" s="10"/>
      <c r="F23" s="10" t="str">
        <f>A21</f>
        <v>https://w3id.org/mobilitydcat-ap/energy-fuel-type/zero-emission-energy-types</v>
      </c>
      <c r="H23" s="1"/>
      <c r="I23" t="s">
        <v>29</v>
      </c>
    </row>
    <row r="24" spans="1:9" x14ac:dyDescent="0.3">
      <c r="A24" s="9" t="str">
        <f t="shared" ref="A24:A36" si="2">_xlfn.CONCAT($B$1,"/",SUBSTITUTE(SUBSTITUTE(LOWER(SUBSTITUTE(B24,"/","-"))," ","-"),",",""))</f>
        <v>https://w3id.org/mobilitydcat-ap/energy-fuel-type/hydrogen</v>
      </c>
      <c r="B24" s="7" t="s">
        <v>32</v>
      </c>
      <c r="C24" s="7"/>
      <c r="D24" s="12"/>
      <c r="E24" s="10"/>
      <c r="F24" s="10" t="str">
        <f>A21</f>
        <v>https://w3id.org/mobilitydcat-ap/energy-fuel-type/zero-emission-energy-types</v>
      </c>
      <c r="H24" s="1"/>
      <c r="I24" t="s">
        <v>29</v>
      </c>
    </row>
    <row r="25" spans="1:9" x14ac:dyDescent="0.3">
      <c r="A25" s="9" t="str">
        <f t="shared" si="2"/>
        <v>https://w3id.org/mobilitydcat-ap/energy-fuel-type/ammonia</v>
      </c>
      <c r="B25" s="7" t="s">
        <v>33</v>
      </c>
      <c r="C25" s="7"/>
      <c r="D25" s="12"/>
      <c r="E25" s="10"/>
      <c r="F25" s="10" t="str">
        <f>A21</f>
        <v>https://w3id.org/mobilitydcat-ap/energy-fuel-type/zero-emission-energy-types</v>
      </c>
      <c r="H25" s="1"/>
      <c r="I25" t="s">
        <v>29</v>
      </c>
    </row>
    <row r="26" spans="1:9" ht="57.6" x14ac:dyDescent="0.3">
      <c r="A26" s="9" t="str">
        <f t="shared" si="2"/>
        <v>https://w3id.org/mobilitydcat-ap/energy-fuel-type/renewable-fuels</v>
      </c>
      <c r="B26" s="8" t="s">
        <v>34</v>
      </c>
      <c r="C26" s="7"/>
      <c r="D26" s="12"/>
      <c r="E26" s="10" t="str">
        <f>_xlfn.TEXTJOIN(", ",,A27:A31)</f>
        <v>https://w3id.org/mobilitydcat-ap/energy-fuel-type/biomass-fuel, https://w3id.org/mobilitydcat-ap/energy-fuel-type/biofuel, https://w3id.org/mobilitydcat-ap/energy-fuel-type/biogas, https://w3id.org/mobilitydcat-ap/energy-fuel-type/renewable-synthetic-fuel, https://w3id.org/mobilitydcat-ap/energy-fuel-type/renewable-ammonia</v>
      </c>
      <c r="F26" s="10"/>
      <c r="H26" s="1"/>
      <c r="I26" t="s">
        <v>29</v>
      </c>
    </row>
    <row r="27" spans="1:9" x14ac:dyDescent="0.3">
      <c r="A27" s="9" t="str">
        <f t="shared" si="2"/>
        <v>https://w3id.org/mobilitydcat-ap/energy-fuel-type/biomass-fuel</v>
      </c>
      <c r="B27" s="7" t="s">
        <v>35</v>
      </c>
      <c r="C27" s="7"/>
      <c r="D27" s="12"/>
      <c r="E27" s="10"/>
      <c r="F27" s="10" t="str">
        <f>A26</f>
        <v>https://w3id.org/mobilitydcat-ap/energy-fuel-type/renewable-fuels</v>
      </c>
      <c r="H27" s="1"/>
      <c r="I27" t="s">
        <v>29</v>
      </c>
    </row>
    <row r="28" spans="1:9" x14ac:dyDescent="0.3">
      <c r="A28" s="9" t="str">
        <f t="shared" si="2"/>
        <v>https://w3id.org/mobilitydcat-ap/energy-fuel-type/biofuel</v>
      </c>
      <c r="B28" s="7" t="s">
        <v>36</v>
      </c>
      <c r="F28" s="10" t="str">
        <f>A26</f>
        <v>https://w3id.org/mobilitydcat-ap/energy-fuel-type/renewable-fuels</v>
      </c>
      <c r="I28" t="s">
        <v>29</v>
      </c>
    </row>
    <row r="29" spans="1:9" x14ac:dyDescent="0.3">
      <c r="A29" s="9" t="str">
        <f t="shared" si="2"/>
        <v>https://w3id.org/mobilitydcat-ap/energy-fuel-type/biogas</v>
      </c>
      <c r="B29" s="7" t="s">
        <v>37</v>
      </c>
      <c r="F29" s="10" t="str">
        <f>A26</f>
        <v>https://w3id.org/mobilitydcat-ap/energy-fuel-type/renewable-fuels</v>
      </c>
      <c r="I29" t="s">
        <v>29</v>
      </c>
    </row>
    <row r="30" spans="1:9" x14ac:dyDescent="0.3">
      <c r="A30" s="9" t="str">
        <f t="shared" si="2"/>
        <v>https://w3id.org/mobilitydcat-ap/energy-fuel-type/renewable-synthetic-fuel</v>
      </c>
      <c r="B30" s="7" t="s">
        <v>38</v>
      </c>
      <c r="F30" s="10" t="str">
        <f>A26</f>
        <v>https://w3id.org/mobilitydcat-ap/energy-fuel-type/renewable-fuels</v>
      </c>
      <c r="I30" t="s">
        <v>29</v>
      </c>
    </row>
    <row r="31" spans="1:9" x14ac:dyDescent="0.3">
      <c r="A31" s="9" t="str">
        <f t="shared" si="2"/>
        <v>https://w3id.org/mobilitydcat-ap/energy-fuel-type/renewable-ammonia</v>
      </c>
      <c r="B31" s="7" t="s">
        <v>39</v>
      </c>
      <c r="F31" s="10" t="str">
        <f>A26</f>
        <v>https://w3id.org/mobilitydcat-ap/energy-fuel-type/renewable-fuels</v>
      </c>
      <c r="I31" t="s">
        <v>29</v>
      </c>
    </row>
    <row r="32" spans="1:9" ht="43.2" x14ac:dyDescent="0.3">
      <c r="A32" s="9" t="str">
        <f t="shared" si="2"/>
        <v>https://w3id.org/mobilitydcat-ap/energy-fuel-type/non‑renewable-alternative-and-transitional-fossil-fuels</v>
      </c>
      <c r="B32" s="8" t="s">
        <v>40</v>
      </c>
      <c r="E32" s="1" t="str">
        <f>_xlfn.TEXTJOIN(", ",,A33:A36)</f>
        <v>https://w3id.org/mobilitydcat-ap/energy-fuel-type/compressed-natural-gas, https://w3id.org/mobilitydcat-ap/energy-fuel-type/liquefied-natural-gas, https://w3id.org/mobilitydcat-ap/energy-fuel-type/liquefied-petroleum-gas, https://w3id.org/mobilitydcat-ap/energy-fuel-type/non-renewable-synthetic-fuel</v>
      </c>
      <c r="F32" s="10"/>
      <c r="I32" t="s">
        <v>29</v>
      </c>
    </row>
    <row r="33" spans="1:9" ht="28.8" x14ac:dyDescent="0.3">
      <c r="A33" s="9" t="str">
        <f t="shared" si="2"/>
        <v>https://w3id.org/mobilitydcat-ap/energy-fuel-type/compressed-natural-gas</v>
      </c>
      <c r="B33" s="7" t="s">
        <v>41</v>
      </c>
      <c r="F33" s="10" t="str">
        <f>A32</f>
        <v>https://w3id.org/mobilitydcat-ap/energy-fuel-type/non‑renewable-alternative-and-transitional-fossil-fuels</v>
      </c>
      <c r="I33" t="s">
        <v>29</v>
      </c>
    </row>
    <row r="34" spans="1:9" ht="28.8" x14ac:dyDescent="0.3">
      <c r="A34" s="9" t="str">
        <f t="shared" si="2"/>
        <v>https://w3id.org/mobilitydcat-ap/energy-fuel-type/liquefied-natural-gas</v>
      </c>
      <c r="B34" s="7" t="s">
        <v>42</v>
      </c>
      <c r="F34" s="10" t="str">
        <f>A32</f>
        <v>https://w3id.org/mobilitydcat-ap/energy-fuel-type/non‑renewable-alternative-and-transitional-fossil-fuels</v>
      </c>
      <c r="I34" t="s">
        <v>29</v>
      </c>
    </row>
    <row r="35" spans="1:9" ht="28.8" x14ac:dyDescent="0.3">
      <c r="A35" s="9" t="str">
        <f t="shared" si="2"/>
        <v>https://w3id.org/mobilitydcat-ap/energy-fuel-type/liquefied-petroleum-gas</v>
      </c>
      <c r="B35" s="7" t="s">
        <v>43</v>
      </c>
      <c r="F35" s="10" t="str">
        <f>A32</f>
        <v>https://w3id.org/mobilitydcat-ap/energy-fuel-type/non‑renewable-alternative-and-transitional-fossil-fuels</v>
      </c>
      <c r="I35" t="s">
        <v>29</v>
      </c>
    </row>
    <row r="36" spans="1:9" ht="28.8" x14ac:dyDescent="0.3">
      <c r="A36" s="9" t="str">
        <f t="shared" si="2"/>
        <v>https://w3id.org/mobilitydcat-ap/energy-fuel-type/non-renewable-synthetic-fuel</v>
      </c>
      <c r="B36" s="7" t="s">
        <v>44</v>
      </c>
      <c r="F36" s="10" t="str">
        <f>A32</f>
        <v>https://w3id.org/mobilitydcat-ap/energy-fuel-type/non‑renewable-alternative-and-transitional-fossil-fuels</v>
      </c>
      <c r="I36" t="s">
        <v>29</v>
      </c>
    </row>
    <row r="37" spans="1:9" ht="28.8" x14ac:dyDescent="0.3">
      <c r="A37" s="9" t="str">
        <f t="shared" ref="A37:A38" si="3">_xlfn.CONCAT($B$1,"/",SUBSTITUTE(SUBSTITUTE(LOWER(SUBSTITUTE(B37,"/","-"))," ","-"),",",""))</f>
        <v>https://w3id.org/mobilitydcat-ap/energy-fuel-type/fossil-fuels</v>
      </c>
      <c r="B37" s="8" t="s">
        <v>45</v>
      </c>
      <c r="E37" s="1" t="str">
        <f>_xlfn.TEXTJOIN(", ",,A38:A39)</f>
        <v>https://w3id.org/mobilitydcat-ap/energy-fuel-type/petrol, https://w3id.org/mobilitydcat-ap/energy-fuel-type/diesel</v>
      </c>
      <c r="F37" s="10"/>
    </row>
    <row r="38" spans="1:9" x14ac:dyDescent="0.3">
      <c r="A38" s="9" t="str">
        <f t="shared" si="3"/>
        <v>https://w3id.org/mobilitydcat-ap/energy-fuel-type/petrol</v>
      </c>
      <c r="B38" s="7" t="s">
        <v>46</v>
      </c>
      <c r="F38" s="10" t="str">
        <f>A37</f>
        <v>https://w3id.org/mobilitydcat-ap/energy-fuel-type/fossil-fuels</v>
      </c>
    </row>
    <row r="39" spans="1:9" x14ac:dyDescent="0.3">
      <c r="A39" s="9" t="str">
        <f t="shared" ref="A39" si="4">_xlfn.CONCAT($B$1,"/",SUBSTITUTE(SUBSTITUTE(LOWER(SUBSTITUTE(B39,"/","-"))," ","-"),",",""))</f>
        <v>https://w3id.org/mobilitydcat-ap/energy-fuel-type/diesel</v>
      </c>
      <c r="B39" s="7" t="s">
        <v>47</v>
      </c>
      <c r="F39" s="10" t="str">
        <f>A37</f>
        <v>https://w3id.org/mobilitydcat-ap/energy-fuel-type/fossil-fuels</v>
      </c>
    </row>
    <row r="40" spans="1:9" x14ac:dyDescent="0.3">
      <c r="F40" s="12"/>
    </row>
    <row r="41" spans="1:9" x14ac:dyDescent="0.3">
      <c r="F41" s="12"/>
    </row>
    <row r="42" spans="1:9" x14ac:dyDescent="0.3">
      <c r="F42" s="1"/>
    </row>
    <row r="43" spans="1:9" x14ac:dyDescent="0.3">
      <c r="F43" s="1"/>
    </row>
    <row r="44" spans="1:9" x14ac:dyDescent="0.3">
      <c r="F44" s="1"/>
    </row>
  </sheetData>
  <hyperlinks>
    <hyperlink ref="B15" r:id="rId1" xr:uid="{88DD0E19-390C-4E8C-B1D4-C8022AB762F5}"/>
    <hyperlink ref="I20" r:id="rId2" xr:uid="{CB0B5D26-657C-45EC-A00A-F5FDA39D71A1}"/>
    <hyperlink ref="B1" r:id="rId3" xr:uid="{7A5E5744-6303-4F65-A6C1-F3AA593679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5" sqref="A5"/>
    </sheetView>
  </sheetViews>
  <sheetFormatPr defaultColWidth="11.44140625" defaultRowHeight="14.4" x14ac:dyDescent="0.3"/>
  <cols>
    <col min="1" max="1" width="43.88671875" customWidth="1"/>
    <col min="2" max="2" width="52.44140625" customWidth="1"/>
    <col min="3" max="3" width="47.109375" customWidth="1"/>
    <col min="4" max="4" width="51.5546875" customWidth="1"/>
  </cols>
  <sheetData>
    <row r="1" spans="1:4" x14ac:dyDescent="0.3">
      <c r="A1" s="4" t="s">
        <v>48</v>
      </c>
      <c r="B1" s="5" t="s">
        <v>49</v>
      </c>
      <c r="C1" s="5"/>
    </row>
    <row r="2" spans="1:4" x14ac:dyDescent="0.3">
      <c r="A2" s="4" t="s">
        <v>50</v>
      </c>
      <c r="B2" t="s">
        <v>51</v>
      </c>
      <c r="C2" s="6" t="s">
        <v>52</v>
      </c>
    </row>
    <row r="6" spans="1:4" x14ac:dyDescent="0.3">
      <c r="A6" s="2" t="s">
        <v>15</v>
      </c>
      <c r="B6" s="2" t="s">
        <v>53</v>
      </c>
      <c r="C6" s="2" t="s">
        <v>54</v>
      </c>
      <c r="D6" s="2" t="s">
        <v>55</v>
      </c>
    </row>
    <row r="7" spans="1:4" ht="57.6" x14ac:dyDescent="0.3">
      <c r="A7" s="13" t="s">
        <v>29</v>
      </c>
      <c r="B7" s="9" t="s">
        <v>56</v>
      </c>
      <c r="C7" s="11" t="s">
        <v>57</v>
      </c>
      <c r="D7" s="11" t="s">
        <v>58</v>
      </c>
    </row>
    <row r="8" spans="1:4" x14ac:dyDescent="0.3">
      <c r="A8" s="9"/>
      <c r="B8" s="9"/>
      <c r="D8" s="1"/>
    </row>
    <row r="9" spans="1:4" x14ac:dyDescent="0.3">
      <c r="A9" s="9"/>
      <c r="B9" s="9"/>
      <c r="D9" s="1"/>
    </row>
    <row r="10" spans="1:4" x14ac:dyDescent="0.3">
      <c r="A10" s="9"/>
      <c r="B10" s="9"/>
      <c r="D10" s="1"/>
    </row>
    <row r="11" spans="1:4" x14ac:dyDescent="0.3">
      <c r="A11" s="9"/>
      <c r="B11" s="9"/>
    </row>
    <row r="12" spans="1:4" x14ac:dyDescent="0.3">
      <c r="A12" s="9"/>
      <c r="B12" s="9"/>
    </row>
  </sheetData>
  <hyperlinks>
    <hyperlink ref="C2" r:id="rId1" xr:uid="{58DD5B5A-358F-42FC-86DA-2D96F83CCE39}"/>
    <hyperlink ref="B1" r:id="rId2" location="LegalResource" xr:uid="{CC29DB45-B227-4996-9295-3EC0D26352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2" ma:contentTypeDescription="Create a new document." ma:contentTypeScope="" ma:versionID="b912ec8155dd4e933917767331a7e7b9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E03DED-ABA6-41DC-A9F2-F03B3D97B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6cf2f-2f8b-4d8e-84b2-f14abf7317aa"/>
    <ds:schemaRef ds:uri="13e36eaf-61a1-47aa-b343-0f7d626aa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04F36C-6F34-42D8-A9E1-097741891E9D}">
  <ds:schemaRefs>
    <ds:schemaRef ds:uri="http://schemas.microsoft.com/office/2006/metadata/properties"/>
    <ds:schemaRef ds:uri="http://schemas.microsoft.com/office/infopath/2007/PartnerControls"/>
    <ds:schemaRef ds:uri="13e36eaf-61a1-47aa-b343-0f7d626aa9a0"/>
    <ds:schemaRef ds:uri="c386cf2f-2f8b-4d8e-84b2-f14abf731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Delegated Regulations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2026-10-20T06:50:22Z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