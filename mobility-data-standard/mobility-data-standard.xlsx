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44719259-5C5E-4753-8A83-90D5A52F6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" l="1"/>
  <c r="A23" i="2"/>
  <c r="A46" i="2"/>
  <c r="A37" i="2"/>
  <c r="A24" i="2"/>
  <c r="A45" i="2"/>
  <c r="A28" i="2"/>
  <c r="A31" i="2"/>
  <c r="A30" i="2"/>
  <c r="A42" i="2"/>
  <c r="A34" i="2"/>
  <c r="A29" i="2"/>
  <c r="A43" i="2"/>
  <c r="A22" i="2"/>
  <c r="A36" i="2"/>
  <c r="B11" i="2"/>
</calcChain>
</file>

<file path=xl/sharedStrings.xml><?xml version="1.0" encoding="utf-8"?>
<sst xmlns="http://schemas.openxmlformats.org/spreadsheetml/2006/main" count="134" uniqueCount="103">
  <si>
    <t>ConceptScheme URI</t>
  </si>
  <si>
    <t>https://w3id.org/mobilitydcat-ap/mobility-data-standard</t>
  </si>
  <si>
    <t>dct:title</t>
  </si>
  <si>
    <t>Mobility data standard</t>
  </si>
  <si>
    <t>dct:description</t>
  </si>
  <si>
    <t>Controlled vocabulary for the mobility data standard adopted by a distribution.</t>
  </si>
  <si>
    <t>dct:creator</t>
  </si>
  <si>
    <t>Mario Scrocca (Cefriel)</t>
  </si>
  <si>
    <t>Peter Lubrich (BASt)</t>
  </si>
  <si>
    <t>Ed Ooms (NDW)</t>
  </si>
  <si>
    <t>Petr Bures (TamTam Research)</t>
  </si>
  <si>
    <t>dct:publisher</t>
  </si>
  <si>
    <t>dct:contributor</t>
  </si>
  <si>
    <t>owl:versionInfo</t>
  </si>
  <si>
    <t>1.2.0</t>
  </si>
  <si>
    <t>owl:versionIRI</t>
  </si>
  <si>
    <t>owl:priorVersion</t>
  </si>
  <si>
    <t>https://w3id.org/mobilitydcat-ap/mobility-data-standard/1.1.0</t>
  </si>
  <si>
    <t>dct:license</t>
  </si>
  <si>
    <t>https://creativecommons.org/licenses/by/4.0/</t>
  </si>
  <si>
    <t>http://purl.org/ontology/bibo/status</t>
  </si>
  <si>
    <t>URI</t>
  </si>
  <si>
    <t>skos:prefLabel</t>
  </si>
  <si>
    <t>skos:definition</t>
  </si>
  <si>
    <t>skos:narrower</t>
  </si>
  <si>
    <t>rdf:type</t>
  </si>
  <si>
    <t>skos:notation</t>
  </si>
  <si>
    <t>https://w3id.org/mobilitydcat-ap/mobility-data-standard/apds</t>
  </si>
  <si>
    <t>APDS</t>
  </si>
  <si>
    <t>Alliance for Parking Data Standards (ADPS)</t>
  </si>
  <si>
    <t>https://w3id.org/mobilitydcat-ap/mobility-data-standard/alert-c</t>
  </si>
  <si>
    <t>ALERT-C</t>
  </si>
  <si>
    <t>Traffic Message Channel (TMC) ALERT‑C location table standard (CEN/EN 14819‑3)</t>
  </si>
  <si>
    <t>https://w3id.org/mobilitydcat-ap/mobility-data-standard/cds</t>
  </si>
  <si>
    <t>CDS</t>
  </si>
  <si>
    <t>Curb Data Specification (Open Mobility Foundation)</t>
  </si>
  <si>
    <t>https://w3id.org/mobilitydcat-ap/mobility-data-standard/cds-m</t>
  </si>
  <si>
    <t>CDS-M</t>
  </si>
  <si>
    <t>City Data Specification for Mobility (Open Mobility Foundation)</t>
  </si>
  <si>
    <t>C-ITS</t>
  </si>
  <si>
    <t>Cooperative ITS message standards: CAM (ETSI EN 302 637-2), DENM (ETSI EN 302 637-3), SPAT/MAP (SAE-J2735 and ISO 19091)</t>
  </si>
  <si>
    <t>DATEX II</t>
  </si>
  <si>
    <t>Road Traffic and Travel Data Exchange (DATEX II, CEN/TS 16157)</t>
  </si>
  <si>
    <t>DINO</t>
  </si>
  <si>
    <t xml:space="preserve">DINO exchange format based on the VDV-DIVA exchange format </t>
  </si>
  <si>
    <t>https://w3id.org/mobilitydcat-ap/mobility-data-standard/e-cmr</t>
  </si>
  <si>
    <t>e-CMR</t>
  </si>
  <si>
    <t>Electronic Consignment Note under the UNECE CMR Convention</t>
  </si>
  <si>
    <t>https://w3id.org/mobilitydcat-ap/mobility-data-standard/era</t>
  </si>
  <si>
    <t>ERA Ontology</t>
  </si>
  <si>
    <t>Ontology of the European Railway Agency (ERA)</t>
  </si>
  <si>
    <t>https://w3id.org/mobilitydcat-ap/mobility-data-standard/ertms</t>
  </si>
  <si>
    <t>ERTMS</t>
  </si>
  <si>
    <t>European Rail Traffic Management System</t>
  </si>
  <si>
    <t>GBFS</t>
  </si>
  <si>
    <t>General Bikeshare Feed Specification (MobilityData)</t>
  </si>
  <si>
    <t>GML</t>
  </si>
  <si>
    <t>Geography Markup Language (OGC) XML encoding</t>
  </si>
  <si>
    <t>GTFS</t>
  </si>
  <si>
    <t>General Transit Feed Specification - Schedule (MobilityData)</t>
  </si>
  <si>
    <t>GTFS-RT</t>
  </si>
  <si>
    <t>General Transit Feed Specification - Realtime (MobilityData)</t>
  </si>
  <si>
    <t>https://w3id.org/mobilitydcat-ap/mobility-data-standard/inspire</t>
  </si>
  <si>
    <t>INSPIRE DS TN</t>
  </si>
  <si>
    <t>INSPIRE Data Specification on Transport Networks</t>
  </si>
  <si>
    <t>https://w3id.org/mobilitydcat-ap/mobility-data-standard/mds</t>
  </si>
  <si>
    <t>MDS</t>
  </si>
  <si>
    <t>Mobility Data Specification (Open Mobility Foundation)</t>
  </si>
  <si>
    <t>NeTEx</t>
  </si>
  <si>
    <t>Network and Timetable Exchange (NeTEx, CEN/TS 16614)</t>
  </si>
  <si>
    <t>OCIT-O</t>
  </si>
  <si>
    <t>OCIT (Open Communication Interface for Road Traffic Control Systems) Outstations</t>
  </si>
  <si>
    <t>OCIT-C</t>
  </si>
  <si>
    <t>OCIT (Open Communication Interface for Road Traffic Control Systems) Center-to-Center</t>
  </si>
  <si>
    <t>OCPI</t>
  </si>
  <si>
    <t>Open Charge Point Interface (OCPI)</t>
  </si>
  <si>
    <t>https://w3id.org/mobilitydcat-ap/mobility-data-standard/ojp</t>
  </si>
  <si>
    <t>OJP</t>
  </si>
  <si>
    <t>Open Journey Planner (CEN/TS 17118)</t>
  </si>
  <si>
    <t>https://w3id.org/mobilitydcat-ap/mobility-data-standard/opentnf</t>
  </si>
  <si>
    <t>OpenTNF</t>
  </si>
  <si>
    <t>Open specification for interoperability and exchange of data on transport networks</t>
  </si>
  <si>
    <t>https://w3id.org/mobilitydcat-ap/mobility-data-standard/opra</t>
  </si>
  <si>
    <t>OpRa</t>
  </si>
  <si>
    <t>Operating Raw Data and Statistics Exchange (CEN/TS 17413)</t>
  </si>
  <si>
    <t>https://w3id.org/mobilitydcat-ap/mobility-data-standard/osdm</t>
  </si>
  <si>
    <t>OSDM</t>
  </si>
  <si>
    <t>Open Sales and Distribution Model (OSDM)</t>
  </si>
  <si>
    <t>SIRI</t>
  </si>
  <si>
    <t>Service Interface for Real‑time Information (SIRI, CEN/TS 15531)</t>
  </si>
  <si>
    <t>TN-ITS</t>
  </si>
  <si>
    <t>TN-ITS (CEN/TS 17268)</t>
  </si>
  <si>
    <t>https://w3id.org/mobilitydcat-ap/mobility-data-standard/tomp-api</t>
  </si>
  <si>
    <t>TOMP-API</t>
  </si>
  <si>
    <t>Transport Operator - MaaS Provider API</t>
  </si>
  <si>
    <t>tpegML</t>
  </si>
  <si>
    <t>XML encoding of TPEG messages (ISO/TS 21219 series)</t>
  </si>
  <si>
    <t>Other</t>
  </si>
  <si>
    <t>Dataset uses a data standard not listed in this vocabulary</t>
  </si>
  <si>
    <t>skos:Concept,https://w3id.org/mobilitydcatap#MobilityDataStandard</t>
  </si>
  <si>
    <t xml:space="preserve">Sara Guerra de Oliveira (University of Maribor) </t>
  </si>
  <si>
    <t>NAPCORE Task 4.4</t>
  </si>
  <si>
    <t>Published Controlled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</si>
</sst>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0" xfId="0" applyFill="1"/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workbookViewId="0">
      <selection activeCell="D29" sqref="D29"/>
    </sheetView>
  </sheetViews>
  <sheetFormatPr defaultColWidth="11.42578125" defaultRowHeight="15" x14ac:dyDescent="0.25"/>
  <cols>
    <col min="1" max="1" width="62.7109375" customWidth="1"/>
    <col min="2" max="2" width="46.28515625" customWidth="1"/>
    <col min="3" max="3" width="77.140625" customWidth="1"/>
    <col min="4" max="4" width="45.7109375" style="1" customWidth="1"/>
    <col min="5" max="5" width="67.85546875" style="1" customWidth="1"/>
    <col min="6" max="6" width="35.85546875" style="1" customWidth="1"/>
    <col min="7" max="7" width="30.42578125" customWidth="1"/>
  </cols>
  <sheetData>
    <row r="1" spans="1:3" x14ac:dyDescent="0.25">
      <c r="A1" s="4" t="s">
        <v>0</v>
      </c>
      <c r="B1" t="s">
        <v>1</v>
      </c>
    </row>
    <row r="2" spans="1:3" x14ac:dyDescent="0.25">
      <c r="A2" s="4" t="s">
        <v>2</v>
      </c>
      <c r="B2" t="s">
        <v>3</v>
      </c>
      <c r="C2" s="1"/>
    </row>
    <row r="3" spans="1:3" x14ac:dyDescent="0.25">
      <c r="A3" s="4" t="s">
        <v>4</v>
      </c>
      <c r="B3" t="s">
        <v>5</v>
      </c>
      <c r="C3" s="1"/>
    </row>
    <row r="4" spans="1:3" x14ac:dyDescent="0.25">
      <c r="A4" s="4" t="s">
        <v>6</v>
      </c>
      <c r="B4" t="s">
        <v>7</v>
      </c>
      <c r="C4" s="1"/>
    </row>
    <row r="5" spans="1:3" x14ac:dyDescent="0.25">
      <c r="A5" s="4" t="s">
        <v>6</v>
      </c>
      <c r="B5" t="s">
        <v>8</v>
      </c>
      <c r="C5" s="1"/>
    </row>
    <row r="6" spans="1:3" x14ac:dyDescent="0.25">
      <c r="A6" s="4" t="s">
        <v>6</v>
      </c>
      <c r="B6" t="s">
        <v>9</v>
      </c>
      <c r="C6" s="1"/>
    </row>
    <row r="7" spans="1:3" x14ac:dyDescent="0.25">
      <c r="A7" s="4" t="s">
        <v>12</v>
      </c>
      <c r="B7" t="s">
        <v>10</v>
      </c>
      <c r="C7" s="1"/>
    </row>
    <row r="8" spans="1:3" x14ac:dyDescent="0.25">
      <c r="A8" s="19" t="s">
        <v>12</v>
      </c>
      <c r="B8" s="20" t="s">
        <v>100</v>
      </c>
      <c r="C8" s="1"/>
    </row>
    <row r="9" spans="1:3" x14ac:dyDescent="0.25">
      <c r="A9" s="4" t="s">
        <v>11</v>
      </c>
      <c r="B9" t="s">
        <v>101</v>
      </c>
      <c r="C9" s="1"/>
    </row>
    <row r="10" spans="1:3" x14ac:dyDescent="0.25">
      <c r="A10" s="4" t="s">
        <v>13</v>
      </c>
      <c r="B10" s="21" t="s">
        <v>14</v>
      </c>
      <c r="C10" s="1"/>
    </row>
    <row r="11" spans="1:3" x14ac:dyDescent="0.25">
      <c r="A11" s="4" t="s">
        <v>15</v>
      </c>
      <c r="B11" t="str">
        <f>_xlfn.CONCAT(B1,"/",B10)</f>
        <v>https://w3id.org/mobilitydcat-ap/mobility-data-standard/1.2.0</v>
      </c>
      <c r="C11" s="1"/>
    </row>
    <row r="12" spans="1:3" x14ac:dyDescent="0.25">
      <c r="A12" s="22" t="s">
        <v>16</v>
      </c>
      <c r="B12" t="s">
        <v>17</v>
      </c>
      <c r="C12" s="1"/>
    </row>
    <row r="13" spans="1:3" x14ac:dyDescent="0.25">
      <c r="A13" s="4" t="s">
        <v>18</v>
      </c>
      <c r="B13" s="5" t="s">
        <v>19</v>
      </c>
      <c r="C13" s="1"/>
    </row>
    <row r="14" spans="1:3" x14ac:dyDescent="0.25">
      <c r="A14" s="4" t="s">
        <v>20</v>
      </c>
      <c r="B14" t="s">
        <v>102</v>
      </c>
    </row>
    <row r="17" spans="1:6" x14ac:dyDescent="0.25">
      <c r="A17" s="2" t="s">
        <v>21</v>
      </c>
      <c r="B17" s="2" t="s">
        <v>22</v>
      </c>
      <c r="C17" s="3" t="s">
        <v>23</v>
      </c>
      <c r="D17" s="3" t="s">
        <v>24</v>
      </c>
      <c r="E17" s="3" t="s">
        <v>25</v>
      </c>
      <c r="F17" s="2" t="s">
        <v>26</v>
      </c>
    </row>
    <row r="18" spans="1:6" ht="16.5" customHeight="1" x14ac:dyDescent="0.25">
      <c r="A18" s="9" t="s">
        <v>27</v>
      </c>
      <c r="B18" s="10" t="s">
        <v>28</v>
      </c>
      <c r="C18" s="11" t="s">
        <v>29</v>
      </c>
      <c r="E18" s="9" t="s">
        <v>99</v>
      </c>
    </row>
    <row r="19" spans="1:6" ht="16.5" customHeight="1" x14ac:dyDescent="0.25">
      <c r="A19" s="9" t="s">
        <v>30</v>
      </c>
      <c r="B19" s="10" t="s">
        <v>31</v>
      </c>
      <c r="C19" s="11" t="s">
        <v>32</v>
      </c>
      <c r="E19" s="9" t="s">
        <v>99</v>
      </c>
    </row>
    <row r="20" spans="1:6" x14ac:dyDescent="0.25">
      <c r="A20" s="9" t="s">
        <v>33</v>
      </c>
      <c r="B20" s="10" t="s">
        <v>34</v>
      </c>
      <c r="C20" s="11" t="s">
        <v>35</v>
      </c>
      <c r="E20" s="9" t="s">
        <v>99</v>
      </c>
    </row>
    <row r="21" spans="1:6" x14ac:dyDescent="0.25">
      <c r="A21" s="9" t="s">
        <v>36</v>
      </c>
      <c r="B21" s="10" t="s">
        <v>37</v>
      </c>
      <c r="C21" s="11" t="s">
        <v>38</v>
      </c>
      <c r="E21" s="9" t="s">
        <v>99</v>
      </c>
    </row>
    <row r="22" spans="1:6" ht="30" x14ac:dyDescent="0.25">
      <c r="A22" t="str">
        <f>_xlfn.CONCAT($B$1,"/",SUBSTITUTE(SUBSTITUTE(LOWER(B22)," ","-"),",",""))</f>
        <v>https://w3id.org/mobilitydcat-ap/mobility-data-standard/c-its</v>
      </c>
      <c r="B22" s="6" t="s">
        <v>39</v>
      </c>
      <c r="C22" s="13" t="s">
        <v>40</v>
      </c>
      <c r="E22" s="9" t="s">
        <v>99</v>
      </c>
    </row>
    <row r="23" spans="1:6" x14ac:dyDescent="0.25">
      <c r="A23" t="str">
        <f>_xlfn.CONCAT($B$1,"/",SUBSTITUTE(SUBSTITUTE(SUBSTITUTE(LOWER(B23)," ","-"),",",""),"ii","II"))</f>
        <v>https://w3id.org/mobilitydcat-ap/mobility-data-standard/datex-II</v>
      </c>
      <c r="B23" s="6" t="s">
        <v>41</v>
      </c>
      <c r="C23" s="16" t="s">
        <v>42</v>
      </c>
      <c r="E23" s="9" t="s">
        <v>99</v>
      </c>
    </row>
    <row r="24" spans="1:6" x14ac:dyDescent="0.25">
      <c r="A24" t="str">
        <f>_xlfn.CONCAT($B$1,"/",SUBSTITUTE(SUBSTITUTE(LOWER(B24)," ","-"),",",""))</f>
        <v>https://w3id.org/mobilitydcat-ap/mobility-data-standard/dino</v>
      </c>
      <c r="B24" s="6" t="s">
        <v>43</v>
      </c>
      <c r="C24" s="7" t="s">
        <v>44</v>
      </c>
      <c r="E24" s="9" t="s">
        <v>99</v>
      </c>
    </row>
    <row r="25" spans="1:6" x14ac:dyDescent="0.25">
      <c r="A25" s="9" t="s">
        <v>45</v>
      </c>
      <c r="B25" s="10" t="s">
        <v>46</v>
      </c>
      <c r="C25" s="11" t="s">
        <v>47</v>
      </c>
      <c r="E25" s="9" t="s">
        <v>99</v>
      </c>
    </row>
    <row r="26" spans="1:6" x14ac:dyDescent="0.25">
      <c r="A26" s="9" t="s">
        <v>48</v>
      </c>
      <c r="B26" s="10" t="s">
        <v>49</v>
      </c>
      <c r="C26" s="11" t="s">
        <v>50</v>
      </c>
      <c r="E26" s="9" t="s">
        <v>99</v>
      </c>
    </row>
    <row r="27" spans="1:6" x14ac:dyDescent="0.25">
      <c r="A27" s="9" t="s">
        <v>51</v>
      </c>
      <c r="B27" s="10" t="s">
        <v>52</v>
      </c>
      <c r="C27" s="11" t="s">
        <v>53</v>
      </c>
      <c r="E27" s="9" t="s">
        <v>99</v>
      </c>
    </row>
    <row r="28" spans="1:6" x14ac:dyDescent="0.25">
      <c r="A28" t="str">
        <f t="shared" ref="A28:A31" si="0">_xlfn.CONCAT($B$1,"/",SUBSTITUTE(SUBSTITUTE(LOWER(B28)," ","-"),",",""))</f>
        <v>https://w3id.org/mobilitydcat-ap/mobility-data-standard/gbfs</v>
      </c>
      <c r="B28" s="6" t="s">
        <v>54</v>
      </c>
      <c r="C28" s="7" t="s">
        <v>55</v>
      </c>
      <c r="E28" s="9" t="s">
        <v>99</v>
      </c>
    </row>
    <row r="29" spans="1:6" x14ac:dyDescent="0.25">
      <c r="A29" t="str">
        <f t="shared" si="0"/>
        <v>https://w3id.org/mobilitydcat-ap/mobility-data-standard/gml</v>
      </c>
      <c r="B29" s="6" t="s">
        <v>56</v>
      </c>
      <c r="C29" s="13" t="s">
        <v>57</v>
      </c>
      <c r="E29" s="9" t="s">
        <v>99</v>
      </c>
    </row>
    <row r="30" spans="1:6" x14ac:dyDescent="0.25">
      <c r="A30" t="str">
        <f t="shared" si="0"/>
        <v>https://w3id.org/mobilitydcat-ap/mobility-data-standard/gtfs</v>
      </c>
      <c r="B30" s="6" t="s">
        <v>58</v>
      </c>
      <c r="C30" s="13" t="s">
        <v>59</v>
      </c>
      <c r="E30" s="9" t="s">
        <v>99</v>
      </c>
    </row>
    <row r="31" spans="1:6" x14ac:dyDescent="0.25">
      <c r="A31" t="str">
        <f t="shared" si="0"/>
        <v>https://w3id.org/mobilitydcat-ap/mobility-data-standard/gtfs-rt</v>
      </c>
      <c r="B31" s="6" t="s">
        <v>60</v>
      </c>
      <c r="C31" s="13" t="s">
        <v>61</v>
      </c>
      <c r="E31" s="9" t="s">
        <v>99</v>
      </c>
    </row>
    <row r="32" spans="1:6" x14ac:dyDescent="0.25">
      <c r="A32" t="s">
        <v>62</v>
      </c>
      <c r="B32" s="12" t="s">
        <v>63</v>
      </c>
      <c r="C32" s="13" t="s">
        <v>64</v>
      </c>
      <c r="E32" s="9" t="s">
        <v>99</v>
      </c>
    </row>
    <row r="33" spans="1:5" x14ac:dyDescent="0.25">
      <c r="A33" s="9" t="s">
        <v>65</v>
      </c>
      <c r="B33" s="10" t="s">
        <v>66</v>
      </c>
      <c r="C33" s="11" t="s">
        <v>67</v>
      </c>
      <c r="E33" s="9" t="s">
        <v>99</v>
      </c>
    </row>
    <row r="34" spans="1:5" x14ac:dyDescent="0.25">
      <c r="A34" t="str">
        <f>_xlfn.CONCAT($B$1,"/",SUBSTITUTE(SUBSTITUTE(LOWER(B34)," ","-"),",",""))</f>
        <v>https://w3id.org/mobilitydcat-ap/mobility-data-standard/netex</v>
      </c>
      <c r="B34" s="6" t="s">
        <v>68</v>
      </c>
      <c r="C34" s="8" t="s">
        <v>69</v>
      </c>
      <c r="E34" s="9" t="s">
        <v>99</v>
      </c>
    </row>
    <row r="35" spans="1:5" x14ac:dyDescent="0.25">
      <c r="A35" s="9" t="str">
        <f>_xlfn.CONCAT($B$1,"/",SUBSTITUTE(SUBSTITUTE(LOWER(B35)," ","-"),",",""))</f>
        <v>https://w3id.org/mobilitydcat-ap/mobility-data-standard/ocit-o</v>
      </c>
      <c r="B35" s="17" t="s">
        <v>70</v>
      </c>
      <c r="C35" s="18" t="s">
        <v>71</v>
      </c>
      <c r="E35" s="9" t="s">
        <v>99</v>
      </c>
    </row>
    <row r="36" spans="1:5" ht="30" x14ac:dyDescent="0.25">
      <c r="A36" s="14" t="str">
        <f>_xlfn.CONCAT($B$1,"/",SUBSTITUTE(SUBSTITUTE(LOWER(B36)," ","-"),",",""))</f>
        <v>https://w3id.org/mobilitydcat-ap/mobility-data-standard/ocit-c</v>
      </c>
      <c r="B36" s="15" t="s">
        <v>72</v>
      </c>
      <c r="C36" s="16" t="s">
        <v>73</v>
      </c>
      <c r="E36" s="9" t="s">
        <v>99</v>
      </c>
    </row>
    <row r="37" spans="1:5" x14ac:dyDescent="0.25">
      <c r="A37" t="str">
        <f>_xlfn.CONCAT($B$1,"/",SUBSTITUTE(SUBSTITUTE(LOWER(B37)," ","-"),",",""))</f>
        <v>https://w3id.org/mobilitydcat-ap/mobility-data-standard/ocpi</v>
      </c>
      <c r="B37" s="6" t="s">
        <v>74</v>
      </c>
      <c r="C37" s="7" t="s">
        <v>75</v>
      </c>
      <c r="E37" s="9" t="s">
        <v>99</v>
      </c>
    </row>
    <row r="38" spans="1:5" x14ac:dyDescent="0.25">
      <c r="A38" s="9" t="s">
        <v>76</v>
      </c>
      <c r="B38" s="10" t="s">
        <v>77</v>
      </c>
      <c r="C38" s="11" t="s">
        <v>78</v>
      </c>
      <c r="E38" s="9" t="s">
        <v>99</v>
      </c>
    </row>
    <row r="39" spans="1:5" x14ac:dyDescent="0.25">
      <c r="A39" s="9" t="s">
        <v>79</v>
      </c>
      <c r="B39" s="10" t="s">
        <v>80</v>
      </c>
      <c r="C39" s="11" t="s">
        <v>81</v>
      </c>
      <c r="E39" s="9" t="s">
        <v>99</v>
      </c>
    </row>
    <row r="40" spans="1:5" x14ac:dyDescent="0.25">
      <c r="A40" s="9" t="s">
        <v>82</v>
      </c>
      <c r="B40" s="10" t="s">
        <v>83</v>
      </c>
      <c r="C40" s="11" t="s">
        <v>84</v>
      </c>
      <c r="E40" s="9" t="s">
        <v>99</v>
      </c>
    </row>
    <row r="41" spans="1:5" x14ac:dyDescent="0.25">
      <c r="A41" s="9" t="s">
        <v>85</v>
      </c>
      <c r="B41" s="10" t="s">
        <v>86</v>
      </c>
      <c r="C41" s="11" t="s">
        <v>87</v>
      </c>
      <c r="E41" s="9" t="s">
        <v>99</v>
      </c>
    </row>
    <row r="42" spans="1:5" x14ac:dyDescent="0.25">
      <c r="A42" t="str">
        <f>_xlfn.CONCAT($B$1,"/",SUBSTITUTE(SUBSTITUTE(LOWER(B42)," ","-"),",",""))</f>
        <v>https://w3id.org/mobilitydcat-ap/mobility-data-standard/siri</v>
      </c>
      <c r="B42" s="6" t="s">
        <v>88</v>
      </c>
      <c r="C42" s="16" t="s">
        <v>89</v>
      </c>
      <c r="E42" s="9" t="s">
        <v>99</v>
      </c>
    </row>
    <row r="43" spans="1:5" x14ac:dyDescent="0.25">
      <c r="A43" t="str">
        <f>_xlfn.CONCAT($B$1,"/",SUBSTITUTE(SUBSTITUTE(LOWER(B43)," ","-"),",",""))</f>
        <v>https://w3id.org/mobilitydcat-ap/mobility-data-standard/tn-its</v>
      </c>
      <c r="B43" s="6" t="s">
        <v>90</v>
      </c>
      <c r="C43" s="7" t="s">
        <v>91</v>
      </c>
      <c r="E43" s="9" t="s">
        <v>99</v>
      </c>
    </row>
    <row r="44" spans="1:5" x14ac:dyDescent="0.25">
      <c r="A44" s="9" t="s">
        <v>92</v>
      </c>
      <c r="B44" s="10" t="s">
        <v>93</v>
      </c>
      <c r="C44" s="11" t="s">
        <v>94</v>
      </c>
      <c r="E44" s="9" t="s">
        <v>99</v>
      </c>
    </row>
    <row r="45" spans="1:5" x14ac:dyDescent="0.25">
      <c r="A45" t="str">
        <f>_xlfn.CONCAT($B$1,"/",SUBSTITUTE(SUBSTITUTE(LOWER(B45)," ","-"),",",""))</f>
        <v>https://w3id.org/mobilitydcat-ap/mobility-data-standard/tpegml</v>
      </c>
      <c r="B45" s="6" t="s">
        <v>95</v>
      </c>
      <c r="C45" s="13" t="s">
        <v>96</v>
      </c>
      <c r="E45" s="9" t="s">
        <v>99</v>
      </c>
    </row>
    <row r="46" spans="1:5" x14ac:dyDescent="0.25">
      <c r="A46" t="str">
        <f>_xlfn.CONCAT($B$1,"/",SUBSTITUTE(SUBSTITUTE(LOWER(B46)," ","-"),",",""))</f>
        <v>https://w3id.org/mobilitydcat-ap/mobility-data-standard/other</v>
      </c>
      <c r="B46" s="6" t="s">
        <v>97</v>
      </c>
      <c r="C46" s="13" t="s">
        <v>98</v>
      </c>
      <c r="E46" s="9" t="s">
        <v>99</v>
      </c>
    </row>
  </sheetData>
  <sortState xmlns:xlrd2="http://schemas.microsoft.com/office/spreadsheetml/2017/richdata2" ref="A18:C45">
    <sortCondition ref="B18:B45"/>
  </sortState>
  <phoneticPr fontId="3" type="noConversion"/>
  <hyperlinks>
    <hyperlink ref="B13" r:id="rId1" xr:uid="{F5CCEF78-A2AE-420B-8B79-2E74A78B421A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2" ma:contentTypeDescription="Create a new document." ma:contentTypeScope="" ma:versionID="b912ec8155dd4e933917767331a7e7b9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610B8D-6EB9-4C25-8CE0-612AE3B494D1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customXml/itemProps2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C5E93-65BA-4187-9929-805FF0E80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2026-10-19T16:15:42Z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