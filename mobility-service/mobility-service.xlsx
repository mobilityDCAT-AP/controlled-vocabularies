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rocca\Desktop\cefriel-github\controlled-vocabularies\base\"/>
    </mc:Choice>
  </mc:AlternateContent>
  <xr:revisionPtr revIDLastSave="0" documentId="13_ncr:1_{B164AC35-0BB7-44D5-9A85-D3ADCA459400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Refactor Proposal" sheetId="3" state="hidden" r:id="rId1"/>
    <sheet name="proposal2(PB)" sheetId="4" state="hidden" r:id="rId2"/>
    <sheet name="Vocabulary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5" l="1"/>
  <c r="A39" i="5"/>
  <c r="A28" i="5"/>
  <c r="A29" i="5"/>
  <c r="A25" i="5"/>
  <c r="A30" i="5"/>
  <c r="A27" i="5"/>
  <c r="A22" i="5"/>
  <c r="D26" i="5" s="1"/>
  <c r="A37" i="5"/>
  <c r="A32" i="5"/>
  <c r="A31" i="5"/>
  <c r="A33" i="5"/>
  <c r="A35" i="5"/>
  <c r="A34" i="5"/>
  <c r="A36" i="5"/>
  <c r="A24" i="5"/>
  <c r="A23" i="5"/>
  <c r="A38" i="5"/>
  <c r="B14" i="5"/>
  <c r="D39" i="5" l="1"/>
  <c r="D38" i="5"/>
  <c r="D28" i="5"/>
  <c r="D29" i="5"/>
  <c r="D25" i="5"/>
  <c r="D24" i="5"/>
  <c r="D23" i="5"/>
  <c r="D37" i="5"/>
  <c r="D36" i="5"/>
  <c r="D33" i="5"/>
  <c r="D35" i="5"/>
  <c r="D34" i="5"/>
  <c r="D32" i="5"/>
  <c r="D3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tc={5CEAA3FC-FAFB-4094-82AE-49C6805D3FAB}</author>
  </authors>
  <commentList>
    <comment ref="A1" authorId="0" shapeId="0" xr:uid="{5CEAA3FC-FAFB-4094-82AE-49C6805D3FAB}">
      <text>
        <t>[Threaded comment]
Your version of Excel allows you to read this threaded comment; however, any edits to it will get removed if the file is opened in a newer version of Excel. Learn more: https://go.microsoft.com/fwlink/?linkid=870924
Comment:
    I leave for discussion a list to extend the transport mode controlled vocabulary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 Bureš (CZ/TTR)</author>
  </authors>
  <commentList>
    <comment ref="A1" authorId="0" shapeId="0" xr:uid="{A48F0381-E91F-484B-90FB-169229DC8605}">
      <text>
        <r>
          <rPr>
            <sz val="11"/>
            <color theme="1"/>
            <rFont val="Calibri"/>
            <family val="2"/>
            <scheme val="minor"/>
          </rPr>
          <t>Petr Bureš (CZ/TTR):
This is just to see whole picture - what do we actually need here? clearly the previous category was defined with a room for improvmement</t>
        </r>
      </text>
    </comment>
  </commentList>
</comments>
</file>

<file path=xl/sharedStrings.xml><?xml version="1.0" encoding="utf-8"?>
<sst xmlns="http://schemas.openxmlformats.org/spreadsheetml/2006/main" count="476" uniqueCount="376">
  <si>
    <t>Comment</t>
  </si>
  <si>
    <t>Green = Added values</t>
  </si>
  <si>
    <t>comment</t>
  </si>
  <si>
    <r>
      <t>…/</t>
    </r>
    <r>
      <rPr>
        <b/>
        <sz val="11"/>
        <color rgb="FF000000"/>
        <rFont val="Aptos Narrow"/>
        <family val="2"/>
      </rPr>
      <t>transport-</t>
    </r>
    <r>
      <rPr>
        <b/>
        <sz val="11"/>
        <color rgb="FF000000"/>
        <rFont val="Aptos Narrow"/>
        <family val="2"/>
      </rPr>
      <t>mode</t>
    </r>
    <r>
      <rPr>
        <sz val="11"/>
        <color rgb="FF000000"/>
        <rFont val="Aptos Narrow"/>
        <family val="2"/>
      </rPr>
      <t>/air</t>
    </r>
  </si>
  <si>
    <t>Air</t>
  </si>
  <si>
    <t>not fitting here // or we would need air/rail/sea/water/land modes and I am not seeing them there</t>
  </si>
  <si>
    <t>…/transport-mode/bus</t>
  </si>
  <si>
    <t>Bus</t>
  </si>
  <si>
    <t>…/transport-mode/coach</t>
  </si>
  <si>
    <t>Coach</t>
  </si>
  <si>
    <t>long distance bus</t>
  </si>
  <si>
    <t>…/transport-mode/rail</t>
  </si>
  <si>
    <t>Rail</t>
  </si>
  <si>
    <t>…/transport-mode/long-distance-rail</t>
  </si>
  <si>
    <t>Long-distance rail</t>
  </si>
  <si>
    <t>…/transport-mode/high-speed-rail</t>
  </si>
  <si>
    <t>High‑speed rail</t>
  </si>
  <si>
    <t>…/transport-mode/intercity-rail</t>
  </si>
  <si>
    <t>Intercity rail</t>
  </si>
  <si>
    <t>…/transport-mode/regional-rail</t>
  </si>
  <si>
    <t>Regional rail</t>
  </si>
  <si>
    <t>…/transport-mode/suburban-rail</t>
  </si>
  <si>
    <t>Suburban rail</t>
  </si>
  <si>
    <t>…/transport-mode/tram</t>
  </si>
  <si>
    <t>Tram</t>
  </si>
  <si>
    <t>…/transport-mode/metro</t>
  </si>
  <si>
    <t>Metro</t>
  </si>
  <si>
    <t>…/transport-mode/maritime</t>
  </si>
  <si>
    <t>Maritime</t>
  </si>
  <si>
    <t>…/transport-mode/ferry</t>
  </si>
  <si>
    <t>Ferry</t>
  </si>
  <si>
    <t>…/transport-mode/inland-waterway</t>
  </si>
  <si>
    <t>Inland waterway</t>
  </si>
  <si>
    <t>…/transport-mode/cableway</t>
  </si>
  <si>
    <t>Cableway</t>
  </si>
  <si>
    <t>…/transport-mode/funicular</t>
  </si>
  <si>
    <t>Funicular</t>
  </si>
  <si>
    <t>…/transport-mode/trolleybus</t>
  </si>
  <si>
    <t>Trolleybus</t>
  </si>
  <si>
    <t>…/transport-mode/bicycle</t>
  </si>
  <si>
    <t>Bicycle</t>
  </si>
  <si>
    <t>…/transport-mode/motorcycle</t>
  </si>
  <si>
    <t>Motorcycle</t>
  </si>
  <si>
    <t>…/transport-mode/car</t>
  </si>
  <si>
    <t>Car</t>
  </si>
  <si>
    <t>…/transport-mode/pedestrian</t>
  </si>
  <si>
    <t>Pedestrian</t>
  </si>
  <si>
    <t>…/transport-mode/scooter</t>
  </si>
  <si>
    <t>Scooter</t>
  </si>
  <si>
    <t>…/transport-mode/e-scooter</t>
  </si>
  <si>
    <t>E‑Scooter</t>
  </si>
  <si>
    <t>…/transport-mode/lift</t>
  </si>
  <si>
    <t>Lift</t>
  </si>
  <si>
    <t>like in a bulding?</t>
  </si>
  <si>
    <t>…/transport-mode/snow-ice</t>
  </si>
  <si>
    <t>Snow &amp; Ice</t>
  </si>
  <si>
    <t>meaning?</t>
  </si>
  <si>
    <t>…/transport-mode/truck</t>
  </si>
  <si>
    <t>Truck</t>
  </si>
  <si>
    <t>…/transport-mode/local-bus</t>
  </si>
  <si>
    <t>Local bus</t>
  </si>
  <si>
    <t>…/transport-mode/express-bus</t>
  </si>
  <si>
    <t>Express bus</t>
  </si>
  <si>
    <t>…/transport-mode/river-bus</t>
  </si>
  <si>
    <t>River bus</t>
  </si>
  <si>
    <t>river boat?</t>
  </si>
  <si>
    <t>…/transport-mode/gondola</t>
  </si>
  <si>
    <t>Gondola</t>
  </si>
  <si>
    <t>…/transport-mode/chairlift</t>
  </si>
  <si>
    <t>Chairlift</t>
  </si>
  <si>
    <t>…/transport-mode/drag-lift</t>
  </si>
  <si>
    <t>Drag lift</t>
  </si>
  <si>
    <t>…/transport-mode/other</t>
  </si>
  <si>
    <t>Other</t>
  </si>
  <si>
    <r>
      <rPr>
        <sz val="11"/>
        <color rgb="FF000000"/>
        <rFont val="Calibri"/>
        <family val="2"/>
        <scheme val="minor"/>
      </rPr>
      <t>…/</t>
    </r>
    <r>
      <rPr>
        <b/>
        <sz val="11"/>
        <color rgb="FF000000"/>
        <rFont val="Calibri"/>
        <family val="2"/>
        <scheme val="minor"/>
      </rPr>
      <t>access-model</t>
    </r>
    <r>
      <rPr>
        <sz val="11"/>
        <color rgb="FF000000"/>
        <rFont val="Calibri"/>
        <family val="2"/>
        <scheme val="minor"/>
      </rPr>
      <t>/car-sharing</t>
    </r>
  </si>
  <si>
    <t>Car Sharing</t>
  </si>
  <si>
    <t>…/access-model/car-pooling</t>
  </si>
  <si>
    <t>Car Pooling</t>
  </si>
  <si>
    <t>…/access-model/car-hire</t>
  </si>
  <si>
    <t>Car Hire</t>
  </si>
  <si>
    <t>…/access-model/bike-sharing</t>
  </si>
  <si>
    <t>Bike Sharing</t>
  </si>
  <si>
    <t>…/access-model/bike-hire</t>
  </si>
  <si>
    <t>Bike Hire</t>
  </si>
  <si>
    <t>…/access-model/ride-pooling</t>
  </si>
  <si>
    <t>Ride Pooling</t>
  </si>
  <si>
    <t>…/access-model/scooter-sharing</t>
  </si>
  <si>
    <t>Scooter Sharing</t>
  </si>
  <si>
    <t>…/access-model/e-scooter-sharing</t>
  </si>
  <si>
    <t>E‑Scooter Sharing</t>
  </si>
  <si>
    <t>…/access-model/free-floating</t>
  </si>
  <si>
    <t>Free‑floating</t>
  </si>
  <si>
    <t>…/access-model/station-based</t>
  </si>
  <si>
    <t>Station‑based</t>
  </si>
  <si>
    <t>…/access-model/peer-to-peer</t>
  </si>
  <si>
    <t>Peer‑to‑peer</t>
  </si>
  <si>
    <r>
      <rPr>
        <sz val="11"/>
        <color rgb="FF000000"/>
        <rFont val="Calibri"/>
        <family val="2"/>
        <scheme val="minor"/>
      </rPr>
      <t>…/</t>
    </r>
    <r>
      <rPr>
        <b/>
        <sz val="11"/>
        <color rgb="FF000000"/>
        <rFont val="Calibri"/>
        <family val="2"/>
        <scheme val="minor"/>
      </rPr>
      <t>service-type</t>
    </r>
    <r>
      <rPr>
        <sz val="11"/>
        <color rgb="FF000000"/>
        <rFont val="Calibri"/>
        <family val="2"/>
        <scheme val="minor"/>
      </rPr>
      <t>/scheduled</t>
    </r>
  </si>
  <si>
    <t>Scheduled</t>
  </si>
  <si>
    <t>public</t>
  </si>
  <si>
    <t>…/service-type/semi-scheduled</t>
  </si>
  <si>
    <t>Semi‑scheduled</t>
  </si>
  <si>
    <t>…/service-type/unscheduled</t>
  </si>
  <si>
    <t>Unscheduled</t>
  </si>
  <si>
    <t>…/service-type/on-demand</t>
  </si>
  <si>
    <t>On‑demand</t>
  </si>
  <si>
    <t>DATEX: public transport:This service is running only on demand</t>
  </si>
  <si>
    <t>…/service-type/flexible</t>
  </si>
  <si>
    <t>Flexible</t>
  </si>
  <si>
    <t>…/service-type/fixed-route</t>
  </si>
  <si>
    <t>Fixed route</t>
  </si>
  <si>
    <t>…/service-type/door-to-door</t>
  </si>
  <si>
    <t>Door‑to‑door</t>
  </si>
  <si>
    <t>…/service-type/taxi</t>
  </si>
  <si>
    <t>Taxi</t>
  </si>
  <si>
    <t>…/service-type/drt</t>
  </si>
  <si>
    <t>Demand responsive transport (DRT) / Dial‑a‑Ride</t>
  </si>
  <si>
    <t>…/service-type/shuttle</t>
  </si>
  <si>
    <t>Shuttle Service</t>
  </si>
  <si>
    <t>DATEX:Shuttle services are in place, usually to reach a specific destination or event.</t>
  </si>
  <si>
    <t>Transport Modes</t>
  </si>
  <si>
    <t>Road transport</t>
  </si>
  <si>
    <t>Movement of people or goods using vehicles operating on public roads.</t>
  </si>
  <si>
    <t>Rail transport</t>
  </si>
  <si>
    <t>Transport using guided vehicles running on rail tracks.</t>
  </si>
  <si>
    <t>Air transport</t>
  </si>
  <si>
    <t>Movement of people or goods using aircrafts operating in the airspace.</t>
  </si>
  <si>
    <t>Water transport</t>
  </si>
  <si>
    <t>Transport using vessels on seas, rivers, or canals.</t>
  </si>
  <si>
    <t>Cable &amp; special transport</t>
  </si>
  <si>
    <t>Transport using cable‑driven or mechanically guided systems.</t>
  </si>
  <si>
    <t>Micromobility</t>
  </si>
  <si>
    <t>Lightweight, usually low‑speed vehicles for short‑distance travel.</t>
  </si>
  <si>
    <t>Movement by walking or using mobility aids.</t>
  </si>
  <si>
    <t>Other and seasonal transport mode</t>
  </si>
  <si>
    <t>Category for modes not covered elsewhere.</t>
  </si>
  <si>
    <t>Motor vehicle designed primarily for personal passenger transport.</t>
  </si>
  <si>
    <t>Personal motor vehicle</t>
  </si>
  <si>
    <t>PrivateVehicle</t>
  </si>
  <si>
    <t>VehicleType: car</t>
  </si>
  <si>
    <t>Two‑wheeled motor vehicle for individual transport.</t>
  </si>
  <si>
    <t>Two‑wheel motor vehicle</t>
  </si>
  <si>
    <t>VehicleType: motorcycle</t>
  </si>
  <si>
    <t>Road vehicle designed for carrying multiple passengers on fixed or flexible routes.</t>
  </si>
  <si>
    <t>Passenger road vehicle</t>
  </si>
  <si>
    <t>VehicleType: bus</t>
  </si>
  <si>
    <t>Comfortable long‑distance bus designed for intercity or touring travel.</t>
  </si>
  <si>
    <t>Long‑distance bus</t>
  </si>
  <si>
    <t>VehicleType: coach</t>
  </si>
  <si>
    <t>Electric bus drawing power from overhead wires.</t>
  </si>
  <si>
    <t>Electric bus on wires</t>
  </si>
  <si>
    <t>TrolleyBus</t>
  </si>
  <si>
    <t>N/A</t>
  </si>
  <si>
    <t>Motor vehicle designed for transporting goods or heavy loads.</t>
  </si>
  <si>
    <t>Goods vehicle</t>
  </si>
  <si>
    <t>GoodsVehicle</t>
  </si>
  <si>
    <t>VehicleType: heavyGoodsVehicle</t>
  </si>
  <si>
    <t>Bus operating frequent, short‑distance urban services with many stops.</t>
  </si>
  <si>
    <t>Urban bus with frequent stops</t>
  </si>
  <si>
    <t>Bus operating longer routes with limited stops for faster travel.</t>
  </si>
  <si>
    <t>Limited‑stop bus</t>
  </si>
  <si>
    <t>Rail service operating at very high speeds on dedicated lines.</t>
  </si>
  <si>
    <t>&gt;250 km/h</t>
  </si>
  <si>
    <t>RailSubmode: highSpeedRail</t>
  </si>
  <si>
    <t>Rail service connecting major cities over medium to long distances.</t>
  </si>
  <si>
    <t>City‑to‑city</t>
  </si>
  <si>
    <t>RailSubmode: intercityRail</t>
  </si>
  <si>
    <t>Long‑distance rail</t>
  </si>
  <si>
    <t>Rail service covering extended national or international routes.</t>
  </si>
  <si>
    <t>Extended routes</t>
  </si>
  <si>
    <t>RailSubmode: longDistanceRail</t>
  </si>
  <si>
    <t>Rail service connecting towns and smaller cities within a region.</t>
  </si>
  <si>
    <t>Regional services</t>
  </si>
  <si>
    <t>RailSubmode: regionalRail</t>
  </si>
  <si>
    <t>Frequent rail service connecting suburbs with urban centers.</t>
  </si>
  <si>
    <t>Commuter rail</t>
  </si>
  <si>
    <t>RailSubmode: suburbanRail</t>
  </si>
  <si>
    <t>Street‑level rail vehicle operating in mixed traffic or dedicated lanes.</t>
  </si>
  <si>
    <t>Street rail</t>
  </si>
  <si>
    <t>PublicTransportMode: tram</t>
  </si>
  <si>
    <t>High‑capacity urban rail system operating on segregated tracks.</t>
  </si>
  <si>
    <t>Urban rapid transit</t>
  </si>
  <si>
    <t>PublicTransportMode: metro</t>
  </si>
  <si>
    <t>Aeroplane</t>
  </si>
  <si>
    <t>Sailplane</t>
  </si>
  <si>
    <t>Helicopter</t>
  </si>
  <si>
    <t>Gyroplane</t>
  </si>
  <si>
    <t>Balloons</t>
  </si>
  <si>
    <t>Airship</t>
  </si>
  <si>
    <t>Powered parachutes</t>
  </si>
  <si>
    <t>Unmanned aircraft</t>
  </si>
  <si>
    <t>Maritime transport</t>
  </si>
  <si>
    <t>Transport on seas or coastal waters.</t>
  </si>
  <si>
    <t>Sea/coastal</t>
  </si>
  <si>
    <t>WaterSubmode: waterTransport</t>
  </si>
  <si>
    <t>VehicleType: vessel</t>
  </si>
  <si>
    <t>Transport on rivers, canals, and lakes.</t>
  </si>
  <si>
    <t>Rivers/canals</t>
  </si>
  <si>
    <t>WaterSubmode: inlandWaterways</t>
  </si>
  <si>
    <t>VehicleType: inlandWaterwayVessel</t>
  </si>
  <si>
    <t>Vessel carrying passengers or vehicles across water on scheduled routes.</t>
  </si>
  <si>
    <t>Passenger/vehicle ferry</t>
  </si>
  <si>
    <t>WaterSubmode: ferry</t>
  </si>
  <si>
    <t>VehicleType: ferry</t>
  </si>
  <si>
    <t>Passenger vessel providing urban or suburban water‑based transit.</t>
  </si>
  <si>
    <t>Urban water transit</t>
  </si>
  <si>
    <t>WaterSubmode: waterBus</t>
  </si>
  <si>
    <t>Aerial cable transport system for passengers or goods.</t>
  </si>
  <si>
    <t>Cable‑driven system</t>
  </si>
  <si>
    <r>
      <t>Telecabin</t>
    </r>
    <r>
      <rPr>
        <sz val="11"/>
        <color rgb="FF000000"/>
        <rFont val="Aptos Narrow"/>
        <family val="2"/>
        <charset val="238"/>
      </rPr>
      <t xml:space="preserve"> / </t>
    </r>
    <r>
      <rPr>
        <i/>
        <sz val="11"/>
        <color rgb="FF000000"/>
        <rFont val="Aptos Narrow"/>
        <family val="2"/>
        <charset val="238"/>
      </rPr>
      <t>CableCar</t>
    </r>
  </si>
  <si>
    <t>Enclosed cabin suspended from a moving cable.</t>
  </si>
  <si>
    <t>Enclosed cabin</t>
  </si>
  <si>
    <t>Telecabin</t>
  </si>
  <si>
    <t>Open or semi‑open seat suspended from a cable, mainly for slopes.</t>
  </si>
  <si>
    <t>Open chair</t>
  </si>
  <si>
    <t>ChairLift</t>
  </si>
  <si>
    <t>Rail vehicle pulled by cable on steep inclines.</t>
  </si>
  <si>
    <t>Cable rail on incline</t>
  </si>
  <si>
    <t>Surface lift pulling skiers uphill.</t>
  </si>
  <si>
    <t>Ski surface lift</t>
  </si>
  <si>
    <t>DragLift</t>
  </si>
  <si>
    <t>Lift (elevator)</t>
  </si>
  <si>
    <t>Vertical transport system inside buildings or structures.</t>
  </si>
  <si>
    <t>Vertical lift</t>
  </si>
  <si>
    <t>Human‑powered or electric‑assisted two‑wheel vehicle.</t>
  </si>
  <si>
    <t>Human‑powered or e‑assist</t>
  </si>
  <si>
    <t>Cycle</t>
  </si>
  <si>
    <t>VehicleType: bicycle</t>
  </si>
  <si>
    <t>Small platform vehicle propelled by foot or motor.</t>
  </si>
  <si>
    <t>Small platform vehicle</t>
  </si>
  <si>
    <t>MicroMobilityDevice</t>
  </si>
  <si>
    <t>Electrically powered standing scooter.</t>
  </si>
  <si>
    <t>Electric scooter</t>
  </si>
  <si>
    <t>Snow &amp; ice transport</t>
  </si>
  <si>
    <t>Seasonal or terrain‑specific transport on snow or ice.</t>
  </si>
  <si>
    <t>Snow/ice vehicles</t>
  </si>
  <si>
    <t>SnowMobile</t>
  </si>
  <si>
    <t>VehicleType: snowplough / winterMaintenanceVehicle</t>
  </si>
  <si>
    <t>other</t>
  </si>
  <si>
    <t>Unclassified</t>
  </si>
  <si>
    <t>OtherMode</t>
  </si>
  <si>
    <t>VehicleType: other</t>
  </si>
  <si>
    <t>Shared Mobility Service</t>
  </si>
  <si>
    <t>Mobility provided through shared access to vehicles instead of ownership.</t>
  </si>
  <si>
    <t>Car sharing</t>
  </si>
  <si>
    <t>Short‑term access to shared cars, usually via app.</t>
  </si>
  <si>
    <t>Shared cars</t>
  </si>
  <si>
    <t>VehicleSharingService</t>
  </si>
  <si>
    <t>Car pooling</t>
  </si>
  <si>
    <t>Multiple passengers sharing a private car for a trip.</t>
  </si>
  <si>
    <t>Shared private car</t>
  </si>
  <si>
    <t>RideSharingService</t>
  </si>
  <si>
    <t>Car hire</t>
  </si>
  <si>
    <t>Rental of a car for hours or days.</t>
  </si>
  <si>
    <t>Rental</t>
  </si>
  <si>
    <t>VehicleRentalService</t>
  </si>
  <si>
    <t>Bike sharing</t>
  </si>
  <si>
    <t>Shared bicycles available for short‑term use.</t>
  </si>
  <si>
    <t>Shared bikes</t>
  </si>
  <si>
    <t>CycleSharingService</t>
  </si>
  <si>
    <t>Bike hire</t>
  </si>
  <si>
    <t>Rental of bicycles for longer periods.</t>
  </si>
  <si>
    <t>CycleRentalService</t>
  </si>
  <si>
    <t>Scooter sharing</t>
  </si>
  <si>
    <t>Shared scooters available for short trips.</t>
  </si>
  <si>
    <t>Shared scooters</t>
  </si>
  <si>
    <t>MicroMobilitySharingService</t>
  </si>
  <si>
    <t>E‑scooter sharing</t>
  </si>
  <si>
    <t>Shared electric scooters available via app.</t>
  </si>
  <si>
    <t>Shared e‑scooters</t>
  </si>
  <si>
    <t>Service model</t>
  </si>
  <si>
    <t>Operational model describing how shared vehicles are accessed.</t>
  </si>
  <si>
    <t>Vehicles can be picked up and dropped off anywhere within a zone.</t>
  </si>
  <si>
    <t>Vehicles must be picked up and returned to designated stations.</t>
  </si>
  <si>
    <t>Private owners rent out their vehicles to others.</t>
  </si>
  <si>
    <t>Transport service type</t>
  </si>
  <si>
    <t>How a transport service is organized, scheduled, and delivered.</t>
  </si>
  <si>
    <t>Services operating according to a fixed timetable.</t>
  </si>
  <si>
    <t>Fixed timetable</t>
  </si>
  <si>
    <t>ScheduledService</t>
  </si>
  <si>
    <t>PublicTransportSchedule</t>
  </si>
  <si>
    <t>Services with partial timetable constraints or flexible timing.</t>
  </si>
  <si>
    <t>Partial timetable</t>
  </si>
  <si>
    <t>FlexibleService</t>
  </si>
  <si>
    <t>Services without a fixed timetable.</t>
  </si>
  <si>
    <t>No timetable</t>
  </si>
  <si>
    <t>UnscheduledService</t>
  </si>
  <si>
    <t>Services following a predefined route.</t>
  </si>
  <si>
    <t>Predefined route</t>
  </si>
  <si>
    <t>FixedRoute</t>
  </si>
  <si>
    <t>Route</t>
  </si>
  <si>
    <t>Services with variable routing depending on demand.</t>
  </si>
  <si>
    <t>Variable routing</t>
  </si>
  <si>
    <t>FlexibleRoute</t>
  </si>
  <si>
    <t>Services activated only when requested by users.</t>
  </si>
  <si>
    <t>Triggered by request</t>
  </si>
  <si>
    <t>DemandResponsiveService</t>
  </si>
  <si>
    <t>DemandResponsiveTransport</t>
  </si>
  <si>
    <t>Services picking up and dropping off passengers at specific locations.</t>
  </si>
  <si>
    <t>Point‑to‑point</t>
  </si>
  <si>
    <t>DoorToDoorService</t>
  </si>
  <si>
    <t>Licensed vehicle providing point‑to‑point transport on demand.</t>
  </si>
  <si>
    <t>Licensed on‑demand</t>
  </si>
  <si>
    <t>TaxiService</t>
  </si>
  <si>
    <t>VehicleType: taxi</t>
  </si>
  <si>
    <t>Demand responsive transport (DRT)</t>
  </si>
  <si>
    <t>Shared, flexible service responding to user requests.</t>
  </si>
  <si>
    <t>Shared flexible service</t>
  </si>
  <si>
    <t>Shuttle service</t>
  </si>
  <si>
    <t>Repeated transport between fixed points, often for events or airports.</t>
  </si>
  <si>
    <t>Repeated fixed‑point service</t>
  </si>
  <si>
    <t>ShuttleService</t>
  </si>
  <si>
    <t>ConceptScheme URI</t>
  </si>
  <si>
    <t>https://w3id.org/mobilitydcat-ap/mobility-service</t>
  </si>
  <si>
    <t>dct:title</t>
  </si>
  <si>
    <t>Mobility Service</t>
  </si>
  <si>
    <t>dct:description</t>
  </si>
  <si>
    <t>Controlled vocabulary for the mobility services covered by a dataset.</t>
  </si>
  <si>
    <t>dct:creator</t>
  </si>
  <si>
    <t>Mario Scrocca (Cefriel)</t>
  </si>
  <si>
    <t>Petr Bures (TamTam Research)</t>
  </si>
  <si>
    <t>dct:publisher</t>
  </si>
  <si>
    <t>dct:contributor</t>
  </si>
  <si>
    <t xml:space="preserve">Sara Guerra de Oliveira (University of Maribor) </t>
  </si>
  <si>
    <t>owl:versionInfo</t>
  </si>
  <si>
    <t>1.0.0</t>
  </si>
  <si>
    <t>owl:versionIRI</t>
  </si>
  <si>
    <t>owl:priorVersion</t>
  </si>
  <si>
    <t>dct:license</t>
  </si>
  <si>
    <t>https://creativecommons.org/licenses/by/4.0/</t>
  </si>
  <si>
    <t>http://purl.org/ontology/bibo/status</t>
  </si>
  <si>
    <t>URI</t>
  </si>
  <si>
    <t>skos:prefLabel</t>
  </si>
  <si>
    <t>skos:definition</t>
  </si>
  <si>
    <t>skos:broader</t>
  </si>
  <si>
    <t>skos:notation</t>
  </si>
  <si>
    <t>owl:deprecated^^xsd:boolean</t>
  </si>
  <si>
    <t>dcterms:replacedBy</t>
  </si>
  <si>
    <t>Sharing Mobility Service</t>
  </si>
  <si>
    <t>Mobility provided through shared access to vehicles instead of ownership</t>
  </si>
  <si>
    <t>Free-floating sharing service</t>
  </si>
  <si>
    <t>Vehicles can be picked up and dropped off anywhere within a zone</t>
  </si>
  <si>
    <t>Station-based sharing service</t>
  </si>
  <si>
    <t>Vehicles must be picked up and returned to designated stations</t>
  </si>
  <si>
    <t>Ride sharing</t>
  </si>
  <si>
    <t>Service providing a trip on a given route to be shared among multiple participants</t>
  </si>
  <si>
    <t>Ride pooling</t>
  </si>
  <si>
    <t>Service for multiple passengers to organise a shared trip</t>
  </si>
  <si>
    <t>Hiring Mobility Service</t>
  </si>
  <si>
    <t>Rental of vehicle for hours or days</t>
  </si>
  <si>
    <t>Rental service</t>
  </si>
  <si>
    <t>Organization that rents vehicles to individuals or businesses on a temporary basis.</t>
  </si>
  <si>
    <t>Peer-to-peer</t>
  </si>
  <si>
    <t>Private owners rent out their vehicles to others</t>
  </si>
  <si>
    <t>Transport Service</t>
  </si>
  <si>
    <t>Organized transport service delivered to users</t>
  </si>
  <si>
    <t>Services operating according to a fixed timetable</t>
  </si>
  <si>
    <t>Semi-scheduled</t>
  </si>
  <si>
    <t>Services with partial timetable constraints or flexible timing</t>
  </si>
  <si>
    <t>On-demand</t>
  </si>
  <si>
    <t>Services activated only when requested by users</t>
  </si>
  <si>
    <t>Services following a predefined route</t>
  </si>
  <si>
    <t>Services with variable routing depending on demand</t>
  </si>
  <si>
    <t>Door-to-door</t>
  </si>
  <si>
    <t>Services picking up and dropping off passengers at specific locations</t>
  </si>
  <si>
    <t>Repeated transport between fixed points, often for events or airports</t>
  </si>
  <si>
    <t>Licensed vehicle providing point‑to‑point transport on demand</t>
  </si>
  <si>
    <t>Ride hailing</t>
  </si>
  <si>
    <t>Service for requesting point-to-point transport on demand via an application (e.g., Uber, Lyft, Bolt, etc.)</t>
  </si>
  <si>
    <t>Ed Ooms (NDW)</t>
  </si>
  <si>
    <t>Benjamin Witsch (AustriaTech)</t>
  </si>
  <si>
    <t>Christian Rantzow von Huth (Vejdirektoratet)</t>
  </si>
  <si>
    <t>Valentina Carriero (Cefriel)</t>
  </si>
  <si>
    <t>Peter Lubrich (BASt)</t>
  </si>
  <si>
    <t>skos:narrower</t>
  </si>
  <si>
    <t>NAPCORE Task 4.4</t>
  </si>
  <si>
    <t>Published Controlled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</si>
</sst>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238"/>
    </font>
    <font>
      <b/>
      <sz val="11"/>
      <color rgb="FF000000"/>
      <name val="Aptos Narrow"/>
      <family val="2"/>
      <charset val="238"/>
    </font>
    <font>
      <i/>
      <sz val="11"/>
      <color rgb="FF000000"/>
      <name val="Aptos Narrow"/>
      <family val="2"/>
      <charset val="238"/>
    </font>
    <font>
      <b/>
      <sz val="14"/>
      <color rgb="FF000000"/>
      <name val="Aptos Narrow"/>
      <family val="2"/>
      <charset val="238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center"/>
    </xf>
    <xf numFmtId="0" fontId="2" fillId="0" borderId="0" xfId="1" applyFill="1"/>
    <xf numFmtId="0" fontId="0" fillId="3" borderId="0" xfId="0" applyFill="1"/>
    <xf numFmtId="0" fontId="4" fillId="0" borderId="0" xfId="0" applyFont="1"/>
    <xf numFmtId="0" fontId="4" fillId="4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6" fillId="3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4" borderId="0" xfId="0" applyFont="1" applyFill="1"/>
    <xf numFmtId="0" fontId="8" fillId="4" borderId="0" xfId="0" applyFont="1" applyFill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0" fillId="6" borderId="0" xfId="0" applyFill="1" applyAlignment="1">
      <alignment horizontal="center" wrapText="1"/>
    </xf>
    <xf numFmtId="0" fontId="12" fillId="0" borderId="0" xfId="0" applyFont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Filipa Guerra De Oliveira" id="{BFE87DCA-1858-4F22-9352-7A96F9858869}" userId="S::sara.guerraoliveira_um.si#ext#@rupprechtconsultde.onmicrosoft.com::9e0df386-993b-4e86-95d7-9935cc62ab2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8T20:19:23.80" personId="{BFE87DCA-1858-4F22-9352-7A96F9858869}" id="{5CEAA3FC-FAFB-4094-82AE-49C6805D3FAB}">
    <text>I leave for discussion a list to extend the transport mode controlled vocabulary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commons.org/licenses/by/4.0/" TargetMode="External"/><Relationship Id="rId1" Type="http://schemas.openxmlformats.org/officeDocument/2006/relationships/hyperlink" Target="https://w3id.org/mobilitydcat-ap/mobility-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topLeftCell="A36" workbookViewId="0">
      <selection activeCell="C4" sqref="C4"/>
    </sheetView>
  </sheetViews>
  <sheetFormatPr defaultColWidth="11.44140625" defaultRowHeight="14.4" x14ac:dyDescent="0.3"/>
  <cols>
    <col min="1" max="1" width="33.6640625" bestFit="1" customWidth="1"/>
    <col min="2" max="2" width="45.109375" bestFit="1" customWidth="1"/>
  </cols>
  <sheetData>
    <row r="1" spans="1:4" x14ac:dyDescent="0.3">
      <c r="A1" s="10" t="s">
        <v>0</v>
      </c>
      <c r="B1" s="13" t="s">
        <v>1</v>
      </c>
      <c r="C1" t="s">
        <v>2</v>
      </c>
      <c r="D1" t="s">
        <v>2</v>
      </c>
    </row>
    <row r="2" spans="1:4" x14ac:dyDescent="0.3">
      <c r="A2" s="9" t="s">
        <v>3</v>
      </c>
      <c r="B2" s="6" t="s">
        <v>4</v>
      </c>
      <c r="C2" t="s">
        <v>5</v>
      </c>
    </row>
    <row r="3" spans="1:4" x14ac:dyDescent="0.3">
      <c r="A3" s="9" t="s">
        <v>6</v>
      </c>
      <c r="B3" s="6" t="s">
        <v>7</v>
      </c>
    </row>
    <row r="4" spans="1:4" x14ac:dyDescent="0.3">
      <c r="A4" s="9" t="s">
        <v>8</v>
      </c>
      <c r="B4" s="6" t="s">
        <v>9</v>
      </c>
      <c r="C4" t="s">
        <v>10</v>
      </c>
    </row>
    <row r="5" spans="1:4" x14ac:dyDescent="0.3">
      <c r="A5" s="9" t="s">
        <v>11</v>
      </c>
      <c r="B5" s="6" t="s">
        <v>12</v>
      </c>
    </row>
    <row r="6" spans="1:4" x14ac:dyDescent="0.3">
      <c r="A6" t="s">
        <v>13</v>
      </c>
      <c r="B6" s="6" t="s">
        <v>14</v>
      </c>
    </row>
    <row r="7" spans="1:4" x14ac:dyDescent="0.3">
      <c r="A7" s="12" t="s">
        <v>15</v>
      </c>
      <c r="B7" s="11" t="s">
        <v>16</v>
      </c>
    </row>
    <row r="8" spans="1:4" x14ac:dyDescent="0.3">
      <c r="A8" s="12" t="s">
        <v>17</v>
      </c>
      <c r="B8" s="11" t="s">
        <v>18</v>
      </c>
    </row>
    <row r="9" spans="1:4" x14ac:dyDescent="0.3">
      <c r="A9" s="12" t="s">
        <v>19</v>
      </c>
      <c r="B9" s="11" t="s">
        <v>20</v>
      </c>
    </row>
    <row r="10" spans="1:4" x14ac:dyDescent="0.3">
      <c r="A10" s="12" t="s">
        <v>21</v>
      </c>
      <c r="B10" s="11" t="s">
        <v>22</v>
      </c>
    </row>
    <row r="11" spans="1:4" x14ac:dyDescent="0.3">
      <c r="A11" t="s">
        <v>23</v>
      </c>
      <c r="B11" s="6" t="s">
        <v>24</v>
      </c>
    </row>
    <row r="12" spans="1:4" x14ac:dyDescent="0.3">
      <c r="A12" t="s">
        <v>25</v>
      </c>
      <c r="B12" s="6" t="s">
        <v>26</v>
      </c>
    </row>
    <row r="13" spans="1:4" x14ac:dyDescent="0.3">
      <c r="A13" t="s">
        <v>27</v>
      </c>
      <c r="B13" s="6" t="s">
        <v>28</v>
      </c>
    </row>
    <row r="14" spans="1:4" x14ac:dyDescent="0.3">
      <c r="A14" s="12" t="s">
        <v>29</v>
      </c>
      <c r="B14" s="11" t="s">
        <v>30</v>
      </c>
    </row>
    <row r="15" spans="1:4" x14ac:dyDescent="0.3">
      <c r="A15" s="12" t="s">
        <v>31</v>
      </c>
      <c r="B15" s="11" t="s">
        <v>32</v>
      </c>
    </row>
    <row r="16" spans="1:4" x14ac:dyDescent="0.3">
      <c r="A16" s="12" t="s">
        <v>33</v>
      </c>
      <c r="B16" s="11" t="s">
        <v>34</v>
      </c>
    </row>
    <row r="17" spans="1:3" x14ac:dyDescent="0.3">
      <c r="A17" s="12" t="s">
        <v>35</v>
      </c>
      <c r="B17" s="11" t="s">
        <v>36</v>
      </c>
    </row>
    <row r="18" spans="1:3" x14ac:dyDescent="0.3">
      <c r="A18" s="12" t="s">
        <v>37</v>
      </c>
      <c r="B18" s="11" t="s">
        <v>38</v>
      </c>
    </row>
    <row r="19" spans="1:3" x14ac:dyDescent="0.3">
      <c r="A19" t="s">
        <v>39</v>
      </c>
      <c r="B19" s="6" t="s">
        <v>40</v>
      </c>
    </row>
    <row r="20" spans="1:3" x14ac:dyDescent="0.3">
      <c r="A20" t="s">
        <v>41</v>
      </c>
      <c r="B20" s="6" t="s">
        <v>42</v>
      </c>
    </row>
    <row r="21" spans="1:3" x14ac:dyDescent="0.3">
      <c r="A21" t="s">
        <v>43</v>
      </c>
      <c r="B21" s="6" t="s">
        <v>44</v>
      </c>
    </row>
    <row r="22" spans="1:3" x14ac:dyDescent="0.3">
      <c r="A22" t="s">
        <v>45</v>
      </c>
      <c r="B22" s="6" t="s">
        <v>46</v>
      </c>
    </row>
    <row r="23" spans="1:3" x14ac:dyDescent="0.3">
      <c r="A23" s="12" t="s">
        <v>47</v>
      </c>
      <c r="B23" s="11" t="s">
        <v>48</v>
      </c>
    </row>
    <row r="24" spans="1:3" x14ac:dyDescent="0.3">
      <c r="A24" t="s">
        <v>49</v>
      </c>
      <c r="B24" s="6" t="s">
        <v>50</v>
      </c>
    </row>
    <row r="25" spans="1:3" x14ac:dyDescent="0.3">
      <c r="A25" s="12" t="s">
        <v>51</v>
      </c>
      <c r="B25" s="11" t="s">
        <v>52</v>
      </c>
      <c r="C25" t="s">
        <v>53</v>
      </c>
    </row>
    <row r="26" spans="1:3" x14ac:dyDescent="0.3">
      <c r="A26" s="12" t="s">
        <v>54</v>
      </c>
      <c r="B26" s="11" t="s">
        <v>55</v>
      </c>
      <c r="C26" t="s">
        <v>56</v>
      </c>
    </row>
    <row r="27" spans="1:3" x14ac:dyDescent="0.3">
      <c r="A27" t="s">
        <v>57</v>
      </c>
      <c r="B27" s="6" t="s">
        <v>58</v>
      </c>
    </row>
    <row r="28" spans="1:3" x14ac:dyDescent="0.3">
      <c r="A28" s="12" t="s">
        <v>59</v>
      </c>
      <c r="B28" s="11" t="s">
        <v>60</v>
      </c>
    </row>
    <row r="29" spans="1:3" x14ac:dyDescent="0.3">
      <c r="A29" s="12" t="s">
        <v>61</v>
      </c>
      <c r="B29" s="11" t="s">
        <v>62</v>
      </c>
    </row>
    <row r="30" spans="1:3" x14ac:dyDescent="0.3">
      <c r="A30" s="12" t="s">
        <v>63</v>
      </c>
      <c r="B30" s="11" t="s">
        <v>64</v>
      </c>
      <c r="C30" t="s">
        <v>65</v>
      </c>
    </row>
    <row r="31" spans="1:3" x14ac:dyDescent="0.3">
      <c r="A31" s="12" t="s">
        <v>66</v>
      </c>
      <c r="B31" s="11" t="s">
        <v>67</v>
      </c>
    </row>
    <row r="32" spans="1:3" x14ac:dyDescent="0.3">
      <c r="A32" s="12" t="s">
        <v>68</v>
      </c>
      <c r="B32" s="11" t="s">
        <v>69</v>
      </c>
    </row>
    <row r="33" spans="1:2" x14ac:dyDescent="0.3">
      <c r="A33" s="12" t="s">
        <v>70</v>
      </c>
      <c r="B33" s="11" t="s">
        <v>71</v>
      </c>
    </row>
    <row r="34" spans="1:2" x14ac:dyDescent="0.3">
      <c r="A34" t="s">
        <v>72</v>
      </c>
      <c r="B34" s="6" t="s">
        <v>73</v>
      </c>
    </row>
    <row r="35" spans="1:2" x14ac:dyDescent="0.3">
      <c r="B35" s="6"/>
    </row>
    <row r="36" spans="1:2" x14ac:dyDescent="0.3">
      <c r="B36" s="6"/>
    </row>
    <row r="37" spans="1:2" x14ac:dyDescent="0.3">
      <c r="A37" s="15"/>
      <c r="B37" s="16"/>
    </row>
    <row r="38" spans="1:2" x14ac:dyDescent="0.3">
      <c r="A38" s="14" t="s">
        <v>74</v>
      </c>
      <c r="B38" s="6" t="s">
        <v>75</v>
      </c>
    </row>
    <row r="39" spans="1:2" x14ac:dyDescent="0.3">
      <c r="A39" s="8" t="s">
        <v>76</v>
      </c>
      <c r="B39" s="6" t="s">
        <v>77</v>
      </c>
    </row>
    <row r="40" spans="1:2" x14ac:dyDescent="0.3">
      <c r="A40" s="8" t="s">
        <v>78</v>
      </c>
      <c r="B40" s="6" t="s">
        <v>79</v>
      </c>
    </row>
    <row r="41" spans="1:2" x14ac:dyDescent="0.3">
      <c r="A41" s="8" t="s">
        <v>80</v>
      </c>
      <c r="B41" s="6" t="s">
        <v>81</v>
      </c>
    </row>
    <row r="42" spans="1:2" x14ac:dyDescent="0.3">
      <c r="A42" s="8" t="s">
        <v>82</v>
      </c>
      <c r="B42" s="6" t="s">
        <v>83</v>
      </c>
    </row>
    <row r="43" spans="1:2" x14ac:dyDescent="0.3">
      <c r="A43" s="8" t="s">
        <v>84</v>
      </c>
      <c r="B43" s="6" t="s">
        <v>85</v>
      </c>
    </row>
    <row r="44" spans="1:2" x14ac:dyDescent="0.3">
      <c r="A44" s="8" t="s">
        <v>86</v>
      </c>
      <c r="B44" s="11" t="s">
        <v>87</v>
      </c>
    </row>
    <row r="45" spans="1:2" x14ac:dyDescent="0.3">
      <c r="A45" s="8" t="s">
        <v>88</v>
      </c>
      <c r="B45" s="11" t="s">
        <v>89</v>
      </c>
    </row>
    <row r="46" spans="1:2" x14ac:dyDescent="0.3">
      <c r="A46" s="8" t="s">
        <v>90</v>
      </c>
      <c r="B46" s="11" t="s">
        <v>91</v>
      </c>
    </row>
    <row r="47" spans="1:2" x14ac:dyDescent="0.3">
      <c r="A47" s="8" t="s">
        <v>92</v>
      </c>
      <c r="B47" s="11" t="s">
        <v>93</v>
      </c>
    </row>
    <row r="48" spans="1:2" x14ac:dyDescent="0.3">
      <c r="A48" s="8" t="s">
        <v>94</v>
      </c>
      <c r="B48" s="11" t="s">
        <v>95</v>
      </c>
    </row>
    <row r="49" spans="1:4" x14ac:dyDescent="0.3">
      <c r="A49" s="8"/>
      <c r="B49" s="11"/>
    </row>
    <row r="50" spans="1:4" x14ac:dyDescent="0.3">
      <c r="A50" s="8"/>
      <c r="B50" s="11"/>
    </row>
    <row r="51" spans="1:4" x14ac:dyDescent="0.3">
      <c r="A51" s="15"/>
      <c r="B51" s="16"/>
    </row>
    <row r="52" spans="1:4" x14ac:dyDescent="0.3">
      <c r="A52" s="14" t="s">
        <v>96</v>
      </c>
      <c r="B52" s="11" t="s">
        <v>97</v>
      </c>
      <c r="C52" t="s">
        <v>98</v>
      </c>
    </row>
    <row r="53" spans="1:4" x14ac:dyDescent="0.3">
      <c r="A53" s="8" t="s">
        <v>99</v>
      </c>
      <c r="B53" s="11" t="s">
        <v>100</v>
      </c>
    </row>
    <row r="54" spans="1:4" x14ac:dyDescent="0.3">
      <c r="A54" s="8" t="s">
        <v>101</v>
      </c>
      <c r="B54" s="11" t="s">
        <v>102</v>
      </c>
    </row>
    <row r="55" spans="1:4" x14ac:dyDescent="0.3">
      <c r="A55" s="8" t="s">
        <v>103</v>
      </c>
      <c r="B55" s="11" t="s">
        <v>104</v>
      </c>
      <c r="D55" t="s">
        <v>105</v>
      </c>
    </row>
    <row r="56" spans="1:4" x14ac:dyDescent="0.3">
      <c r="A56" s="8" t="s">
        <v>106</v>
      </c>
      <c r="B56" s="11" t="s">
        <v>107</v>
      </c>
    </row>
    <row r="57" spans="1:4" x14ac:dyDescent="0.3">
      <c r="A57" s="8" t="s">
        <v>108</v>
      </c>
      <c r="B57" s="11" t="s">
        <v>109</v>
      </c>
    </row>
    <row r="58" spans="1:4" x14ac:dyDescent="0.3">
      <c r="A58" s="8" t="s">
        <v>110</v>
      </c>
      <c r="B58" s="11" t="s">
        <v>111</v>
      </c>
    </row>
    <row r="59" spans="1:4" x14ac:dyDescent="0.3">
      <c r="A59" s="8" t="s">
        <v>112</v>
      </c>
      <c r="B59" s="6" t="s">
        <v>113</v>
      </c>
    </row>
    <row r="60" spans="1:4" x14ac:dyDescent="0.3">
      <c r="A60" s="8" t="s">
        <v>114</v>
      </c>
      <c r="B60" s="11" t="s">
        <v>115</v>
      </c>
    </row>
    <row r="61" spans="1:4" x14ac:dyDescent="0.3">
      <c r="A61" s="8" t="s">
        <v>116</v>
      </c>
      <c r="B61" s="6" t="s">
        <v>117</v>
      </c>
      <c r="D61" t="s">
        <v>118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B3D0-B550-4EFC-8834-EEEBF03CEB3D}">
  <dimension ref="A1:E92"/>
  <sheetViews>
    <sheetView workbookViewId="0">
      <selection activeCell="B29" sqref="B29"/>
    </sheetView>
  </sheetViews>
  <sheetFormatPr defaultColWidth="55.33203125" defaultRowHeight="14.4" x14ac:dyDescent="0.3"/>
  <cols>
    <col min="2" max="2" width="72.109375" bestFit="1" customWidth="1"/>
    <col min="3" max="3" width="27.33203125" bestFit="1" customWidth="1"/>
    <col min="4" max="4" width="30.6640625" bestFit="1" customWidth="1"/>
  </cols>
  <sheetData>
    <row r="1" spans="1:5" ht="18" x14ac:dyDescent="0.35">
      <c r="A1" s="20" t="s">
        <v>119</v>
      </c>
      <c r="B1" s="17"/>
      <c r="C1" s="18"/>
      <c r="D1" s="17"/>
      <c r="E1" s="17"/>
    </row>
    <row r="2" spans="1:5" x14ac:dyDescent="0.3">
      <c r="A2" s="18" t="s">
        <v>120</v>
      </c>
      <c r="B2" s="17" t="s">
        <v>121</v>
      </c>
      <c r="C2" s="17"/>
      <c r="D2" s="17"/>
      <c r="E2" s="17"/>
    </row>
    <row r="3" spans="1:5" x14ac:dyDescent="0.3">
      <c r="A3" s="18" t="s">
        <v>122</v>
      </c>
      <c r="B3" s="17" t="s">
        <v>123</v>
      </c>
      <c r="C3" s="17"/>
      <c r="D3" s="17"/>
      <c r="E3" s="17"/>
    </row>
    <row r="4" spans="1:5" x14ac:dyDescent="0.3">
      <c r="A4" s="21" t="s">
        <v>124</v>
      </c>
      <c r="B4" s="22" t="s">
        <v>125</v>
      </c>
      <c r="C4" s="17"/>
      <c r="D4" s="17"/>
      <c r="E4" s="17"/>
    </row>
    <row r="5" spans="1:5" x14ac:dyDescent="0.3">
      <c r="A5" s="18" t="s">
        <v>126</v>
      </c>
      <c r="B5" s="17" t="s">
        <v>127</v>
      </c>
      <c r="C5" s="17"/>
      <c r="D5" s="17"/>
      <c r="E5" s="17"/>
    </row>
    <row r="6" spans="1:5" x14ac:dyDescent="0.3">
      <c r="A6" s="18" t="s">
        <v>128</v>
      </c>
      <c r="B6" s="17" t="s">
        <v>129</v>
      </c>
      <c r="C6" s="18"/>
      <c r="D6" s="17"/>
      <c r="E6" s="17"/>
    </row>
    <row r="7" spans="1:5" x14ac:dyDescent="0.3">
      <c r="A7" s="18" t="s">
        <v>130</v>
      </c>
      <c r="B7" s="17" t="s">
        <v>131</v>
      </c>
      <c r="C7" s="17"/>
      <c r="D7" s="17"/>
      <c r="E7" s="17"/>
    </row>
    <row r="8" spans="1:5" x14ac:dyDescent="0.3">
      <c r="A8" s="17" t="s">
        <v>46</v>
      </c>
      <c r="B8" s="17" t="s">
        <v>132</v>
      </c>
      <c r="C8" s="17"/>
      <c r="D8" s="17"/>
      <c r="E8" s="17"/>
    </row>
    <row r="9" spans="1:5" x14ac:dyDescent="0.3">
      <c r="A9" s="18" t="s">
        <v>133</v>
      </c>
      <c r="B9" s="17" t="s">
        <v>134</v>
      </c>
      <c r="C9" s="18"/>
      <c r="D9" s="17"/>
      <c r="E9" s="17"/>
    </row>
    <row r="10" spans="1:5" x14ac:dyDescent="0.3">
      <c r="A10" s="18"/>
      <c r="B10" s="17"/>
      <c r="C10" s="17"/>
      <c r="D10" s="17"/>
      <c r="E10" s="17"/>
    </row>
    <row r="11" spans="1:5" x14ac:dyDescent="0.3">
      <c r="A11" s="18" t="s">
        <v>120</v>
      </c>
      <c r="B11" s="17"/>
      <c r="C11" s="17"/>
      <c r="D11" s="17"/>
      <c r="E11" s="17"/>
    </row>
    <row r="12" spans="1:5" x14ac:dyDescent="0.3">
      <c r="A12" s="17" t="s">
        <v>44</v>
      </c>
      <c r="B12" s="17" t="s">
        <v>135</v>
      </c>
      <c r="C12" s="17" t="s">
        <v>136</v>
      </c>
      <c r="D12" s="19" t="s">
        <v>137</v>
      </c>
      <c r="E12" s="19" t="s">
        <v>138</v>
      </c>
    </row>
    <row r="13" spans="1:5" x14ac:dyDescent="0.3">
      <c r="A13" s="17" t="s">
        <v>42</v>
      </c>
      <c r="B13" s="17" t="s">
        <v>139</v>
      </c>
      <c r="C13" s="17" t="s">
        <v>140</v>
      </c>
      <c r="D13" s="19" t="s">
        <v>42</v>
      </c>
      <c r="E13" s="19" t="s">
        <v>141</v>
      </c>
    </row>
    <row r="14" spans="1:5" x14ac:dyDescent="0.3">
      <c r="A14" s="18" t="s">
        <v>7</v>
      </c>
      <c r="B14" s="17" t="s">
        <v>142</v>
      </c>
      <c r="C14" s="17" t="s">
        <v>143</v>
      </c>
      <c r="D14" s="19" t="s">
        <v>7</v>
      </c>
      <c r="E14" s="19" t="s">
        <v>144</v>
      </c>
    </row>
    <row r="15" spans="1:5" x14ac:dyDescent="0.3">
      <c r="A15" s="17" t="s">
        <v>9</v>
      </c>
      <c r="B15" s="17" t="s">
        <v>145</v>
      </c>
      <c r="C15" s="17" t="s">
        <v>146</v>
      </c>
      <c r="D15" s="19" t="s">
        <v>9</v>
      </c>
      <c r="E15" s="19" t="s">
        <v>147</v>
      </c>
    </row>
    <row r="16" spans="1:5" x14ac:dyDescent="0.3">
      <c r="A16" s="17" t="s">
        <v>38</v>
      </c>
      <c r="B16" s="17" t="s">
        <v>148</v>
      </c>
      <c r="C16" s="17" t="s">
        <v>149</v>
      </c>
      <c r="D16" s="19" t="s">
        <v>150</v>
      </c>
      <c r="E16" s="17" t="s">
        <v>151</v>
      </c>
    </row>
    <row r="17" spans="1:5" x14ac:dyDescent="0.3">
      <c r="A17" s="17" t="s">
        <v>58</v>
      </c>
      <c r="B17" s="17" t="s">
        <v>152</v>
      </c>
      <c r="C17" s="17" t="s">
        <v>153</v>
      </c>
      <c r="D17" s="19" t="s">
        <v>154</v>
      </c>
      <c r="E17" s="19" t="s">
        <v>155</v>
      </c>
    </row>
    <row r="18" spans="1:5" x14ac:dyDescent="0.3">
      <c r="A18" s="17"/>
      <c r="B18" s="17"/>
      <c r="C18" s="17"/>
      <c r="D18" s="19"/>
      <c r="E18" s="19"/>
    </row>
    <row r="19" spans="1:5" x14ac:dyDescent="0.3">
      <c r="A19" s="18" t="s">
        <v>7</v>
      </c>
      <c r="B19" s="17"/>
      <c r="C19" s="17"/>
      <c r="D19" s="19"/>
      <c r="E19" s="19"/>
    </row>
    <row r="20" spans="1:5" x14ac:dyDescent="0.3">
      <c r="A20" s="17" t="s">
        <v>60</v>
      </c>
      <c r="B20" s="17" t="s">
        <v>156</v>
      </c>
      <c r="C20" s="17" t="s">
        <v>157</v>
      </c>
      <c r="D20" s="19"/>
      <c r="E20" s="19"/>
    </row>
    <row r="21" spans="1:5" x14ac:dyDescent="0.3">
      <c r="A21" s="17" t="s">
        <v>62</v>
      </c>
      <c r="B21" s="17" t="s">
        <v>158</v>
      </c>
      <c r="C21" s="17" t="s">
        <v>159</v>
      </c>
      <c r="D21" s="19"/>
      <c r="E21" s="19"/>
    </row>
    <row r="22" spans="1:5" x14ac:dyDescent="0.3">
      <c r="A22" s="17"/>
      <c r="B22" s="17"/>
      <c r="C22" s="17"/>
      <c r="D22" s="19"/>
      <c r="E22" s="19"/>
    </row>
    <row r="23" spans="1:5" x14ac:dyDescent="0.3">
      <c r="A23" s="18" t="s">
        <v>122</v>
      </c>
      <c r="B23" s="17"/>
      <c r="C23" s="17"/>
      <c r="D23" s="17"/>
      <c r="E23" s="17"/>
    </row>
    <row r="24" spans="1:5" x14ac:dyDescent="0.3">
      <c r="A24" s="17" t="s">
        <v>16</v>
      </c>
      <c r="B24" s="17" t="s">
        <v>160</v>
      </c>
      <c r="C24" s="17" t="s">
        <v>161</v>
      </c>
      <c r="D24" s="19" t="s">
        <v>162</v>
      </c>
      <c r="E24" s="17" t="s">
        <v>151</v>
      </c>
    </row>
    <row r="25" spans="1:5" x14ac:dyDescent="0.3">
      <c r="A25" s="17" t="s">
        <v>18</v>
      </c>
      <c r="B25" s="17" t="s">
        <v>163</v>
      </c>
      <c r="C25" s="17" t="s">
        <v>164</v>
      </c>
      <c r="D25" s="19" t="s">
        <v>165</v>
      </c>
      <c r="E25" s="17" t="s">
        <v>151</v>
      </c>
    </row>
    <row r="26" spans="1:5" x14ac:dyDescent="0.3">
      <c r="A26" s="17" t="s">
        <v>166</v>
      </c>
      <c r="B26" s="17" t="s">
        <v>167</v>
      </c>
      <c r="C26" s="17" t="s">
        <v>168</v>
      </c>
      <c r="D26" s="19" t="s">
        <v>169</v>
      </c>
      <c r="E26" s="17" t="s">
        <v>151</v>
      </c>
    </row>
    <row r="27" spans="1:5" x14ac:dyDescent="0.3">
      <c r="A27" s="17" t="s">
        <v>20</v>
      </c>
      <c r="B27" s="17" t="s">
        <v>170</v>
      </c>
      <c r="C27" s="17" t="s">
        <v>171</v>
      </c>
      <c r="D27" s="19" t="s">
        <v>172</v>
      </c>
      <c r="E27" s="17" t="s">
        <v>151</v>
      </c>
    </row>
    <row r="28" spans="1:5" x14ac:dyDescent="0.3">
      <c r="A28" s="17" t="s">
        <v>22</v>
      </c>
      <c r="B28" s="17" t="s">
        <v>173</v>
      </c>
      <c r="C28" s="17" t="s">
        <v>174</v>
      </c>
      <c r="D28" s="19" t="s">
        <v>175</v>
      </c>
      <c r="E28" s="17" t="s">
        <v>151</v>
      </c>
    </row>
    <row r="29" spans="1:5" x14ac:dyDescent="0.3">
      <c r="A29" s="17" t="s">
        <v>24</v>
      </c>
      <c r="B29" s="17" t="s">
        <v>176</v>
      </c>
      <c r="C29" s="17" t="s">
        <v>177</v>
      </c>
      <c r="D29" s="19" t="s">
        <v>24</v>
      </c>
      <c r="E29" s="19" t="s">
        <v>178</v>
      </c>
    </row>
    <row r="30" spans="1:5" x14ac:dyDescent="0.3">
      <c r="A30" s="17" t="s">
        <v>26</v>
      </c>
      <c r="B30" s="17" t="s">
        <v>179</v>
      </c>
      <c r="C30" s="17" t="s">
        <v>180</v>
      </c>
      <c r="D30" s="19" t="s">
        <v>26</v>
      </c>
      <c r="E30" s="19" t="s">
        <v>181</v>
      </c>
    </row>
    <row r="31" spans="1:5" x14ac:dyDescent="0.3">
      <c r="A31" s="17"/>
      <c r="B31" s="17"/>
      <c r="C31" s="17"/>
      <c r="D31" s="19"/>
      <c r="E31" s="19"/>
    </row>
    <row r="32" spans="1:5" x14ac:dyDescent="0.3">
      <c r="A32" s="21" t="s">
        <v>124</v>
      </c>
      <c r="B32" s="17"/>
      <c r="C32" s="17"/>
      <c r="D32" s="19"/>
      <c r="E32" s="19"/>
    </row>
    <row r="33" spans="1:5" x14ac:dyDescent="0.3">
      <c r="A33" s="22" t="s">
        <v>182</v>
      </c>
      <c r="C33" s="17"/>
      <c r="D33" s="19"/>
      <c r="E33" s="19"/>
    </row>
    <row r="34" spans="1:5" x14ac:dyDescent="0.3">
      <c r="A34" s="22" t="s">
        <v>183</v>
      </c>
      <c r="C34" s="17"/>
      <c r="D34" s="19"/>
      <c r="E34" s="19"/>
    </row>
    <row r="35" spans="1:5" x14ac:dyDescent="0.3">
      <c r="A35" s="22" t="s">
        <v>184</v>
      </c>
      <c r="C35" s="17"/>
      <c r="D35" s="19"/>
      <c r="E35" s="19"/>
    </row>
    <row r="36" spans="1:5" x14ac:dyDescent="0.3">
      <c r="A36" s="22" t="s">
        <v>185</v>
      </c>
      <c r="C36" s="17"/>
      <c r="D36" s="19"/>
      <c r="E36" s="19"/>
    </row>
    <row r="37" spans="1:5" x14ac:dyDescent="0.3">
      <c r="A37" s="22" t="s">
        <v>186</v>
      </c>
      <c r="C37" s="17"/>
      <c r="D37" s="19"/>
      <c r="E37" s="19"/>
    </row>
    <row r="38" spans="1:5" x14ac:dyDescent="0.3">
      <c r="A38" s="22" t="s">
        <v>187</v>
      </c>
      <c r="C38" s="17"/>
      <c r="D38" s="19"/>
      <c r="E38" s="19"/>
    </row>
    <row r="39" spans="1:5" x14ac:dyDescent="0.3">
      <c r="A39" s="22" t="s">
        <v>188</v>
      </c>
      <c r="C39" s="17"/>
      <c r="D39" s="19"/>
      <c r="E39" s="19"/>
    </row>
    <row r="40" spans="1:5" x14ac:dyDescent="0.3">
      <c r="A40" s="22" t="s">
        <v>189</v>
      </c>
      <c r="C40" s="17"/>
      <c r="D40" s="19"/>
      <c r="E40" s="19"/>
    </row>
    <row r="41" spans="1:5" x14ac:dyDescent="0.3">
      <c r="A41" s="17"/>
      <c r="B41" s="17"/>
      <c r="C41" s="17"/>
      <c r="D41" s="19"/>
      <c r="E41" s="19"/>
    </row>
    <row r="42" spans="1:5" x14ac:dyDescent="0.3">
      <c r="A42" s="18" t="s">
        <v>126</v>
      </c>
      <c r="B42" s="17" t="s">
        <v>127</v>
      </c>
      <c r="C42" s="17"/>
      <c r="D42" s="17"/>
      <c r="E42" s="17"/>
    </row>
    <row r="43" spans="1:5" x14ac:dyDescent="0.3">
      <c r="A43" s="17" t="s">
        <v>190</v>
      </c>
      <c r="B43" s="17" t="s">
        <v>191</v>
      </c>
      <c r="C43" s="17" t="s">
        <v>192</v>
      </c>
      <c r="D43" s="19" t="s">
        <v>193</v>
      </c>
      <c r="E43" s="19" t="s">
        <v>194</v>
      </c>
    </row>
    <row r="44" spans="1:5" x14ac:dyDescent="0.3">
      <c r="A44" s="17" t="s">
        <v>32</v>
      </c>
      <c r="B44" s="17" t="s">
        <v>195</v>
      </c>
      <c r="C44" s="17" t="s">
        <v>196</v>
      </c>
      <c r="D44" s="19" t="s">
        <v>197</v>
      </c>
      <c r="E44" s="19" t="s">
        <v>198</v>
      </c>
    </row>
    <row r="45" spans="1:5" x14ac:dyDescent="0.3">
      <c r="A45" s="17" t="s">
        <v>30</v>
      </c>
      <c r="B45" s="17" t="s">
        <v>199</v>
      </c>
      <c r="C45" s="17" t="s">
        <v>200</v>
      </c>
      <c r="D45" s="19" t="s">
        <v>201</v>
      </c>
      <c r="E45" s="19" t="s">
        <v>202</v>
      </c>
    </row>
    <row r="46" spans="1:5" x14ac:dyDescent="0.3">
      <c r="A46" s="17" t="s">
        <v>64</v>
      </c>
      <c r="B46" s="17" t="s">
        <v>203</v>
      </c>
      <c r="C46" s="17" t="s">
        <v>204</v>
      </c>
      <c r="D46" s="19" t="s">
        <v>205</v>
      </c>
      <c r="E46" s="17" t="s">
        <v>151</v>
      </c>
    </row>
    <row r="47" spans="1:5" x14ac:dyDescent="0.3">
      <c r="A47" s="17"/>
      <c r="B47" s="17"/>
      <c r="C47" s="17"/>
      <c r="D47" s="19"/>
      <c r="E47" s="17"/>
    </row>
    <row r="48" spans="1:5" ht="17.25" customHeight="1" x14ac:dyDescent="0.3">
      <c r="A48" s="18" t="s">
        <v>128</v>
      </c>
      <c r="B48" s="17" t="s">
        <v>129</v>
      </c>
      <c r="C48" s="18"/>
      <c r="D48" s="17"/>
      <c r="E48" s="17"/>
    </row>
    <row r="49" spans="1:5" x14ac:dyDescent="0.3">
      <c r="A49" s="17" t="s">
        <v>34</v>
      </c>
      <c r="B49" s="17" t="s">
        <v>206</v>
      </c>
      <c r="C49" s="17" t="s">
        <v>207</v>
      </c>
      <c r="D49" s="19" t="s">
        <v>208</v>
      </c>
      <c r="E49" s="17" t="s">
        <v>151</v>
      </c>
    </row>
    <row r="50" spans="1:5" x14ac:dyDescent="0.3">
      <c r="A50" s="17" t="s">
        <v>67</v>
      </c>
      <c r="B50" s="17" t="s">
        <v>209</v>
      </c>
      <c r="C50" s="17" t="s">
        <v>210</v>
      </c>
      <c r="D50" s="19" t="s">
        <v>211</v>
      </c>
      <c r="E50" s="17" t="s">
        <v>151</v>
      </c>
    </row>
    <row r="51" spans="1:5" x14ac:dyDescent="0.3">
      <c r="A51" s="17" t="s">
        <v>69</v>
      </c>
      <c r="B51" s="17" t="s">
        <v>212</v>
      </c>
      <c r="C51" s="17" t="s">
        <v>213</v>
      </c>
      <c r="D51" s="19" t="s">
        <v>214</v>
      </c>
      <c r="E51" s="17" t="s">
        <v>151</v>
      </c>
    </row>
    <row r="52" spans="1:5" x14ac:dyDescent="0.3">
      <c r="A52" s="17" t="s">
        <v>36</v>
      </c>
      <c r="B52" s="17" t="s">
        <v>215</v>
      </c>
      <c r="C52" s="17" t="s">
        <v>216</v>
      </c>
      <c r="D52" s="19" t="s">
        <v>36</v>
      </c>
      <c r="E52" s="17" t="s">
        <v>151</v>
      </c>
    </row>
    <row r="53" spans="1:5" x14ac:dyDescent="0.3">
      <c r="A53" s="17" t="s">
        <v>71</v>
      </c>
      <c r="B53" s="17" t="s">
        <v>217</v>
      </c>
      <c r="C53" s="17" t="s">
        <v>218</v>
      </c>
      <c r="D53" s="19" t="s">
        <v>219</v>
      </c>
      <c r="E53" s="17" t="s">
        <v>151</v>
      </c>
    </row>
    <row r="54" spans="1:5" x14ac:dyDescent="0.3">
      <c r="A54" s="17" t="s">
        <v>220</v>
      </c>
      <c r="B54" s="17" t="s">
        <v>221</v>
      </c>
      <c r="C54" s="17" t="s">
        <v>222</v>
      </c>
      <c r="D54" s="19" t="s">
        <v>52</v>
      </c>
      <c r="E54" s="17" t="s">
        <v>151</v>
      </c>
    </row>
    <row r="55" spans="1:5" x14ac:dyDescent="0.3">
      <c r="A55" s="17"/>
      <c r="B55" s="17"/>
      <c r="C55" s="17"/>
      <c r="D55" s="19"/>
      <c r="E55" s="17"/>
    </row>
    <row r="56" spans="1:5" x14ac:dyDescent="0.3">
      <c r="A56" s="18" t="s">
        <v>130</v>
      </c>
      <c r="B56" s="17" t="s">
        <v>131</v>
      </c>
      <c r="C56" s="17"/>
      <c r="D56" s="17"/>
      <c r="E56" s="17"/>
    </row>
    <row r="57" spans="1:5" x14ac:dyDescent="0.3">
      <c r="A57" s="17" t="s">
        <v>40</v>
      </c>
      <c r="B57" s="17" t="s">
        <v>223</v>
      </c>
      <c r="C57" s="17" t="s">
        <v>224</v>
      </c>
      <c r="D57" s="19" t="s">
        <v>225</v>
      </c>
      <c r="E57" s="19" t="s">
        <v>226</v>
      </c>
    </row>
    <row r="58" spans="1:5" x14ac:dyDescent="0.3">
      <c r="A58" s="17" t="s">
        <v>48</v>
      </c>
      <c r="B58" s="17" t="s">
        <v>227</v>
      </c>
      <c r="C58" s="17" t="s">
        <v>228</v>
      </c>
      <c r="D58" s="19" t="s">
        <v>229</v>
      </c>
      <c r="E58" s="17" t="s">
        <v>151</v>
      </c>
    </row>
    <row r="59" spans="1:5" x14ac:dyDescent="0.3">
      <c r="A59" s="17" t="s">
        <v>50</v>
      </c>
      <c r="B59" s="17" t="s">
        <v>230</v>
      </c>
      <c r="C59" s="17" t="s">
        <v>231</v>
      </c>
      <c r="D59" s="19" t="s">
        <v>229</v>
      </c>
      <c r="E59" s="17" t="s">
        <v>151</v>
      </c>
    </row>
    <row r="60" spans="1:5" x14ac:dyDescent="0.3">
      <c r="A60" s="17"/>
      <c r="B60" s="17"/>
      <c r="C60" s="17"/>
      <c r="D60" s="19"/>
      <c r="E60" s="17"/>
    </row>
    <row r="61" spans="1:5" x14ac:dyDescent="0.3">
      <c r="A61" s="18" t="s">
        <v>133</v>
      </c>
      <c r="B61" s="17" t="s">
        <v>134</v>
      </c>
      <c r="C61" s="18"/>
      <c r="D61" s="17"/>
      <c r="E61" s="17"/>
    </row>
    <row r="62" spans="1:5" x14ac:dyDescent="0.3">
      <c r="A62" s="9" t="s">
        <v>232</v>
      </c>
      <c r="B62" s="17" t="s">
        <v>233</v>
      </c>
      <c r="C62" s="17" t="s">
        <v>234</v>
      </c>
      <c r="D62" s="19" t="s">
        <v>235</v>
      </c>
      <c r="E62" s="19" t="s">
        <v>236</v>
      </c>
    </row>
    <row r="63" spans="1:5" x14ac:dyDescent="0.3">
      <c r="A63" s="9" t="s">
        <v>73</v>
      </c>
      <c r="B63" s="17" t="s">
        <v>237</v>
      </c>
      <c r="C63" s="17" t="s">
        <v>238</v>
      </c>
      <c r="D63" s="19" t="s">
        <v>239</v>
      </c>
      <c r="E63" s="19" t="s">
        <v>240</v>
      </c>
    </row>
    <row r="64" spans="1:5" x14ac:dyDescent="0.3">
      <c r="A64" s="9"/>
      <c r="B64" s="17"/>
      <c r="C64" s="17"/>
      <c r="D64" s="19"/>
      <c r="E64" s="19"/>
    </row>
    <row r="65" spans="1:5" ht="18" x14ac:dyDescent="0.35">
      <c r="A65" s="20" t="s">
        <v>241</v>
      </c>
      <c r="B65" s="17" t="s">
        <v>242</v>
      </c>
      <c r="C65" s="18"/>
      <c r="D65" s="17"/>
      <c r="E65" s="17"/>
    </row>
    <row r="66" spans="1:5" x14ac:dyDescent="0.3">
      <c r="A66" s="17" t="s">
        <v>243</v>
      </c>
      <c r="B66" s="17" t="s">
        <v>244</v>
      </c>
      <c r="C66" s="17" t="s">
        <v>245</v>
      </c>
      <c r="D66" s="19" t="s">
        <v>246</v>
      </c>
      <c r="E66" s="17" t="s">
        <v>151</v>
      </c>
    </row>
    <row r="67" spans="1:5" x14ac:dyDescent="0.3">
      <c r="A67" s="17" t="s">
        <v>247</v>
      </c>
      <c r="B67" s="17" t="s">
        <v>248</v>
      </c>
      <c r="C67" s="17" t="s">
        <v>249</v>
      </c>
      <c r="D67" s="19" t="s">
        <v>250</v>
      </c>
      <c r="E67" s="17" t="s">
        <v>151</v>
      </c>
    </row>
    <row r="68" spans="1:5" x14ac:dyDescent="0.3">
      <c r="A68" s="17" t="s">
        <v>251</v>
      </c>
      <c r="B68" s="17" t="s">
        <v>252</v>
      </c>
      <c r="C68" s="17" t="s">
        <v>253</v>
      </c>
      <c r="D68" s="19" t="s">
        <v>254</v>
      </c>
      <c r="E68" s="17" t="s">
        <v>151</v>
      </c>
    </row>
    <row r="69" spans="1:5" x14ac:dyDescent="0.3">
      <c r="A69" s="17" t="s">
        <v>255</v>
      </c>
      <c r="B69" s="17" t="s">
        <v>256</v>
      </c>
      <c r="C69" s="17" t="s">
        <v>257</v>
      </c>
      <c r="D69" s="19" t="s">
        <v>258</v>
      </c>
      <c r="E69" s="17" t="s">
        <v>151</v>
      </c>
    </row>
    <row r="70" spans="1:5" x14ac:dyDescent="0.3">
      <c r="A70" s="17" t="s">
        <v>259</v>
      </c>
      <c r="B70" s="17" t="s">
        <v>260</v>
      </c>
      <c r="C70" s="17" t="s">
        <v>253</v>
      </c>
      <c r="D70" s="19" t="s">
        <v>261</v>
      </c>
      <c r="E70" s="17" t="s">
        <v>151</v>
      </c>
    </row>
    <row r="71" spans="1:5" x14ac:dyDescent="0.3">
      <c r="A71" s="17" t="s">
        <v>262</v>
      </c>
      <c r="B71" s="17" t="s">
        <v>263</v>
      </c>
      <c r="C71" s="17" t="s">
        <v>264</v>
      </c>
      <c r="D71" s="19" t="s">
        <v>265</v>
      </c>
      <c r="E71" s="17" t="s">
        <v>151</v>
      </c>
    </row>
    <row r="72" spans="1:5" x14ac:dyDescent="0.3">
      <c r="A72" s="17" t="s">
        <v>266</v>
      </c>
      <c r="B72" s="17" t="s">
        <v>267</v>
      </c>
      <c r="C72" s="17" t="s">
        <v>268</v>
      </c>
      <c r="D72" s="19" t="s">
        <v>265</v>
      </c>
      <c r="E72" s="17" t="s">
        <v>151</v>
      </c>
    </row>
    <row r="73" spans="1:5" x14ac:dyDescent="0.3">
      <c r="A73" s="17"/>
      <c r="B73" s="17"/>
      <c r="C73" s="17"/>
      <c r="D73" s="19"/>
      <c r="E73" s="17"/>
    </row>
    <row r="74" spans="1:5" ht="18" x14ac:dyDescent="0.35">
      <c r="A74" s="20" t="s">
        <v>269</v>
      </c>
      <c r="B74" s="17" t="s">
        <v>270</v>
      </c>
      <c r="C74" s="17"/>
      <c r="D74" s="19"/>
      <c r="E74" s="17"/>
    </row>
    <row r="75" spans="1:5" x14ac:dyDescent="0.3">
      <c r="A75" s="17" t="s">
        <v>91</v>
      </c>
      <c r="B75" s="17" t="s">
        <v>271</v>
      </c>
      <c r="C75" s="17"/>
      <c r="D75" s="19"/>
      <c r="E75" s="17"/>
    </row>
    <row r="76" spans="1:5" x14ac:dyDescent="0.3">
      <c r="A76" s="17" t="s">
        <v>93</v>
      </c>
      <c r="B76" s="17" t="s">
        <v>272</v>
      </c>
      <c r="C76" s="17"/>
      <c r="D76" s="19"/>
      <c r="E76" s="17"/>
    </row>
    <row r="77" spans="1:5" x14ac:dyDescent="0.3">
      <c r="A77" s="17" t="s">
        <v>95</v>
      </c>
      <c r="B77" s="17" t="s">
        <v>273</v>
      </c>
      <c r="C77" s="17"/>
      <c r="D77" s="19"/>
      <c r="E77" s="17"/>
    </row>
    <row r="78" spans="1:5" x14ac:dyDescent="0.3">
      <c r="A78" s="17"/>
      <c r="B78" s="17"/>
      <c r="C78" s="17"/>
      <c r="D78" s="19"/>
      <c r="E78" s="17"/>
    </row>
    <row r="79" spans="1:5" ht="18" x14ac:dyDescent="0.35">
      <c r="A79" s="20" t="s">
        <v>274</v>
      </c>
      <c r="B79" s="17" t="s">
        <v>275</v>
      </c>
      <c r="C79" s="18"/>
      <c r="D79" s="17"/>
      <c r="E79" s="17"/>
    </row>
    <row r="80" spans="1:5" x14ac:dyDescent="0.3">
      <c r="A80" s="17" t="s">
        <v>97</v>
      </c>
      <c r="B80" s="17" t="s">
        <v>276</v>
      </c>
      <c r="C80" s="17" t="s">
        <v>277</v>
      </c>
      <c r="D80" s="19" t="s">
        <v>278</v>
      </c>
      <c r="E80" s="19" t="s">
        <v>279</v>
      </c>
    </row>
    <row r="81" spans="1:5" x14ac:dyDescent="0.3">
      <c r="A81" s="17" t="s">
        <v>100</v>
      </c>
      <c r="B81" s="17" t="s">
        <v>280</v>
      </c>
      <c r="C81" s="17" t="s">
        <v>281</v>
      </c>
      <c r="D81" s="19" t="s">
        <v>282</v>
      </c>
      <c r="E81" s="17" t="s">
        <v>151</v>
      </c>
    </row>
    <row r="82" spans="1:5" x14ac:dyDescent="0.3">
      <c r="A82" s="17" t="s">
        <v>102</v>
      </c>
      <c r="B82" s="17" t="s">
        <v>283</v>
      </c>
      <c r="C82" s="17" t="s">
        <v>284</v>
      </c>
      <c r="D82" s="19" t="s">
        <v>285</v>
      </c>
      <c r="E82" s="17" t="s">
        <v>151</v>
      </c>
    </row>
    <row r="83" spans="1:5" x14ac:dyDescent="0.3">
      <c r="A83" s="17" t="s">
        <v>109</v>
      </c>
      <c r="B83" s="17" t="s">
        <v>286</v>
      </c>
      <c r="C83" s="17" t="s">
        <v>287</v>
      </c>
      <c r="D83" s="19" t="s">
        <v>288</v>
      </c>
      <c r="E83" s="19" t="s">
        <v>289</v>
      </c>
    </row>
    <row r="84" spans="1:5" x14ac:dyDescent="0.3">
      <c r="A84" s="17" t="s">
        <v>107</v>
      </c>
      <c r="B84" s="17" t="s">
        <v>290</v>
      </c>
      <c r="C84" s="17" t="s">
        <v>291</v>
      </c>
      <c r="D84" s="19" t="s">
        <v>292</v>
      </c>
      <c r="E84" s="19" t="s">
        <v>292</v>
      </c>
    </row>
    <row r="85" spans="1:5" x14ac:dyDescent="0.3">
      <c r="A85" s="17" t="s">
        <v>104</v>
      </c>
      <c r="B85" s="17" t="s">
        <v>293</v>
      </c>
      <c r="C85" s="17" t="s">
        <v>294</v>
      </c>
      <c r="D85" s="19" t="s">
        <v>295</v>
      </c>
      <c r="E85" s="19" t="s">
        <v>296</v>
      </c>
    </row>
    <row r="86" spans="1:5" x14ac:dyDescent="0.3">
      <c r="A86" s="17" t="s">
        <v>111</v>
      </c>
      <c r="B86" s="17" t="s">
        <v>297</v>
      </c>
      <c r="C86" s="17" t="s">
        <v>298</v>
      </c>
      <c r="D86" s="19" t="s">
        <v>299</v>
      </c>
      <c r="E86" s="17" t="s">
        <v>151</v>
      </c>
    </row>
    <row r="87" spans="1:5" x14ac:dyDescent="0.3">
      <c r="A87" s="17" t="s">
        <v>113</v>
      </c>
      <c r="B87" s="17" t="s">
        <v>300</v>
      </c>
      <c r="C87" s="17" t="s">
        <v>301</v>
      </c>
      <c r="D87" s="19" t="s">
        <v>302</v>
      </c>
      <c r="E87" s="19" t="s">
        <v>303</v>
      </c>
    </row>
    <row r="88" spans="1:5" x14ac:dyDescent="0.3">
      <c r="A88" s="17" t="s">
        <v>304</v>
      </c>
      <c r="B88" s="17" t="s">
        <v>305</v>
      </c>
      <c r="C88" s="17" t="s">
        <v>306</v>
      </c>
      <c r="D88" s="19" t="s">
        <v>296</v>
      </c>
      <c r="E88" s="19" t="s">
        <v>296</v>
      </c>
    </row>
    <row r="89" spans="1:5" x14ac:dyDescent="0.3">
      <c r="A89" s="17" t="s">
        <v>307</v>
      </c>
      <c r="B89" s="17" t="s">
        <v>308</v>
      </c>
      <c r="C89" s="17" t="s">
        <v>309</v>
      </c>
      <c r="D89" s="19" t="s">
        <v>310</v>
      </c>
      <c r="E89" s="17" t="s">
        <v>151</v>
      </c>
    </row>
    <row r="90" spans="1:5" x14ac:dyDescent="0.3">
      <c r="A90" s="17"/>
      <c r="B90" s="17"/>
      <c r="C90" s="17"/>
      <c r="D90" s="17"/>
      <c r="E90" s="17"/>
    </row>
    <row r="91" spans="1:5" x14ac:dyDescent="0.3">
      <c r="A91" s="17"/>
      <c r="B91" s="17"/>
      <c r="C91" s="17"/>
      <c r="D91" s="17"/>
      <c r="E91" s="17"/>
    </row>
    <row r="92" spans="1:5" x14ac:dyDescent="0.3">
      <c r="A92" s="17"/>
      <c r="B92" s="17"/>
      <c r="C92" s="17"/>
      <c r="D92" s="17"/>
      <c r="E92" s="1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747A-1FA3-4B2B-9F81-4ACDA7C45AF8}">
  <dimension ref="A1:H39"/>
  <sheetViews>
    <sheetView tabSelected="1" workbookViewId="0">
      <selection activeCell="A8" sqref="A8"/>
    </sheetView>
  </sheetViews>
  <sheetFormatPr defaultColWidth="11.44140625" defaultRowHeight="14.4" x14ac:dyDescent="0.3"/>
  <cols>
    <col min="1" max="1" width="75.33203125" customWidth="1"/>
    <col min="2" max="2" width="44" customWidth="1"/>
    <col min="3" max="3" width="45.109375" style="23" customWidth="1"/>
    <col min="4" max="4" width="76" style="1" customWidth="1"/>
    <col min="5" max="5" width="25.44140625" style="1" customWidth="1"/>
    <col min="6" max="6" width="35.88671875" style="1" customWidth="1"/>
    <col min="7" max="7" width="30.44140625" customWidth="1"/>
    <col min="8" max="8" width="55.33203125" customWidth="1"/>
  </cols>
  <sheetData>
    <row r="1" spans="1:2" x14ac:dyDescent="0.3">
      <c r="A1" s="4" t="s">
        <v>311</v>
      </c>
      <c r="B1" s="7" t="s">
        <v>312</v>
      </c>
    </row>
    <row r="2" spans="1:2" x14ac:dyDescent="0.3">
      <c r="A2" s="4" t="s">
        <v>313</v>
      </c>
      <c r="B2" t="s">
        <v>314</v>
      </c>
    </row>
    <row r="3" spans="1:2" x14ac:dyDescent="0.3">
      <c r="A3" s="4" t="s">
        <v>315</v>
      </c>
      <c r="B3" t="s">
        <v>316</v>
      </c>
    </row>
    <row r="4" spans="1:2" x14ac:dyDescent="0.3">
      <c r="A4" s="4" t="s">
        <v>317</v>
      </c>
      <c r="B4" t="s">
        <v>318</v>
      </c>
    </row>
    <row r="5" spans="1:2" x14ac:dyDescent="0.3">
      <c r="A5" s="4" t="s">
        <v>317</v>
      </c>
      <c r="B5" t="s">
        <v>319</v>
      </c>
    </row>
    <row r="6" spans="1:2" x14ac:dyDescent="0.3">
      <c r="A6" s="4" t="s">
        <v>317</v>
      </c>
      <c r="B6" t="s">
        <v>322</v>
      </c>
    </row>
    <row r="7" spans="1:2" x14ac:dyDescent="0.3">
      <c r="A7" s="4" t="s">
        <v>320</v>
      </c>
      <c r="B7" t="s">
        <v>374</v>
      </c>
    </row>
    <row r="8" spans="1:2" x14ac:dyDescent="0.3">
      <c r="A8" s="4" t="s">
        <v>321</v>
      </c>
      <c r="B8" t="s">
        <v>368</v>
      </c>
    </row>
    <row r="9" spans="1:2" x14ac:dyDescent="0.3">
      <c r="A9" s="4" t="s">
        <v>321</v>
      </c>
      <c r="B9" t="s">
        <v>369</v>
      </c>
    </row>
    <row r="10" spans="1:2" x14ac:dyDescent="0.3">
      <c r="A10" s="4" t="s">
        <v>321</v>
      </c>
      <c r="B10" t="s">
        <v>371</v>
      </c>
    </row>
    <row r="11" spans="1:2" x14ac:dyDescent="0.3">
      <c r="A11" s="4" t="s">
        <v>321</v>
      </c>
      <c r="B11" t="s">
        <v>370</v>
      </c>
    </row>
    <row r="12" spans="1:2" x14ac:dyDescent="0.3">
      <c r="A12" s="4" t="s">
        <v>321</v>
      </c>
      <c r="B12" t="s">
        <v>372</v>
      </c>
    </row>
    <row r="13" spans="1:2" x14ac:dyDescent="0.3">
      <c r="A13" s="4" t="s">
        <v>323</v>
      </c>
      <c r="B13" t="s">
        <v>324</v>
      </c>
    </row>
    <row r="14" spans="1:2" x14ac:dyDescent="0.3">
      <c r="A14" s="4" t="s">
        <v>325</v>
      </c>
      <c r="B14" t="str">
        <f>_xlfn.CONCAT(B1,"/",B13)</f>
        <v>https://w3id.org/mobilitydcat-ap/mobility-service/1.0.0</v>
      </c>
    </row>
    <row r="15" spans="1:2" x14ac:dyDescent="0.3">
      <c r="A15" s="4" t="s">
        <v>326</v>
      </c>
      <c r="B15" s="5"/>
    </row>
    <row r="16" spans="1:2" x14ac:dyDescent="0.3">
      <c r="A16" s="4" t="s">
        <v>327</v>
      </c>
      <c r="B16" s="5" t="s">
        <v>328</v>
      </c>
    </row>
    <row r="17" spans="1:8" x14ac:dyDescent="0.3">
      <c r="A17" s="4" t="s">
        <v>329</v>
      </c>
      <c r="B17" t="s">
        <v>375</v>
      </c>
    </row>
    <row r="21" spans="1:8" x14ac:dyDescent="0.3">
      <c r="A21" s="2" t="s">
        <v>330</v>
      </c>
      <c r="B21" s="2" t="s">
        <v>331</v>
      </c>
      <c r="C21" s="3" t="s">
        <v>332</v>
      </c>
      <c r="D21" s="3" t="s">
        <v>333</v>
      </c>
      <c r="E21" s="3" t="s">
        <v>373</v>
      </c>
      <c r="F21" s="2" t="s">
        <v>334</v>
      </c>
      <c r="G21" s="3" t="s">
        <v>335</v>
      </c>
      <c r="H21" s="2" t="s">
        <v>336</v>
      </c>
    </row>
    <row r="22" spans="1:8" ht="28.8" x14ac:dyDescent="0.3">
      <c r="A22" s="27" t="str">
        <f t="shared" ref="A22:A39" si="0">_xlfn.CONCAT($B$1,"/",SUBSTITUTE(SUBSTITUTE(LOWER(B22)," ","-"),",",""))</f>
        <v>https://w3id.org/mobilitydcat-ap/mobility-service/sharing-mobility-service</v>
      </c>
      <c r="B22" s="26" t="s">
        <v>337</v>
      </c>
      <c r="C22" s="28" t="s">
        <v>338</v>
      </c>
      <c r="D22" s="25"/>
      <c r="E22" s="25"/>
      <c r="F22" s="24"/>
      <c r="G22" s="25"/>
      <c r="H22" s="24"/>
    </row>
    <row r="23" spans="1:8" ht="28.8" x14ac:dyDescent="0.3">
      <c r="A23" t="str">
        <f t="shared" ref="A23:A37" si="1">_xlfn.CONCAT($B$1,"/",SUBSTITUTE(SUBSTITUTE(LOWER(B23)," ","-"),",",""))</f>
        <v>https://w3id.org/mobilitydcat-ap/mobility-service/free-floating-sharing-service</v>
      </c>
      <c r="B23" s="6" t="s">
        <v>339</v>
      </c>
      <c r="C23" s="23" t="s">
        <v>340</v>
      </c>
      <c r="D23" s="1" t="str">
        <f>A22</f>
        <v>https://w3id.org/mobilitydcat-ap/mobility-service/sharing-mobility-service</v>
      </c>
    </row>
    <row r="24" spans="1:8" ht="28.8" x14ac:dyDescent="0.3">
      <c r="A24" t="str">
        <f t="shared" si="1"/>
        <v>https://w3id.org/mobilitydcat-ap/mobility-service/station-based-sharing-service</v>
      </c>
      <c r="B24" s="6" t="s">
        <v>341</v>
      </c>
      <c r="C24" s="23" t="s">
        <v>342</v>
      </c>
      <c r="D24" s="1" t="str">
        <f>A22</f>
        <v>https://w3id.org/mobilitydcat-ap/mobility-service/sharing-mobility-service</v>
      </c>
    </row>
    <row r="25" spans="1:8" ht="28.8" x14ac:dyDescent="0.3">
      <c r="A25" t="str">
        <f t="shared" si="1"/>
        <v>https://w3id.org/mobilitydcat-ap/mobility-service/ride-sharing</v>
      </c>
      <c r="B25" s="6" t="s">
        <v>343</v>
      </c>
      <c r="C25" s="23" t="s">
        <v>344</v>
      </c>
      <c r="D25" s="1" t="str">
        <f>A22</f>
        <v>https://w3id.org/mobilitydcat-ap/mobility-service/sharing-mobility-service</v>
      </c>
    </row>
    <row r="26" spans="1:8" ht="28.8" x14ac:dyDescent="0.3">
      <c r="A26" t="str">
        <f t="shared" si="1"/>
        <v>https://w3id.org/mobilitydcat-ap/mobility-service/ride-pooling</v>
      </c>
      <c r="B26" s="6" t="s">
        <v>345</v>
      </c>
      <c r="C26" s="23" t="s">
        <v>346</v>
      </c>
      <c r="D26" s="1" t="str">
        <f>A22</f>
        <v>https://w3id.org/mobilitydcat-ap/mobility-service/sharing-mobility-service</v>
      </c>
    </row>
    <row r="27" spans="1:8" x14ac:dyDescent="0.3">
      <c r="A27" s="27" t="str">
        <f t="shared" si="1"/>
        <v>https://w3id.org/mobilitydcat-ap/mobility-service/hiring-mobility-service</v>
      </c>
      <c r="B27" s="26" t="s">
        <v>347</v>
      </c>
      <c r="C27" s="28" t="s">
        <v>348</v>
      </c>
    </row>
    <row r="28" spans="1:8" ht="28.8" x14ac:dyDescent="0.3">
      <c r="A28" t="str">
        <f t="shared" si="1"/>
        <v>https://w3id.org/mobilitydcat-ap/mobility-service/rental-service</v>
      </c>
      <c r="B28" s="29" t="s">
        <v>349</v>
      </c>
      <c r="C28" s="23" t="s">
        <v>350</v>
      </c>
      <c r="D28" s="1" t="str">
        <f>A27</f>
        <v>https://w3id.org/mobilitydcat-ap/mobility-service/hiring-mobility-service</v>
      </c>
    </row>
    <row r="29" spans="1:8" x14ac:dyDescent="0.3">
      <c r="A29" t="str">
        <f t="shared" si="1"/>
        <v>https://w3id.org/mobilitydcat-ap/mobility-service/peer-to-peer</v>
      </c>
      <c r="B29" s="6" t="s">
        <v>351</v>
      </c>
      <c r="C29" s="23" t="s">
        <v>352</v>
      </c>
      <c r="D29" s="1" t="str">
        <f>A27</f>
        <v>https://w3id.org/mobilitydcat-ap/mobility-service/hiring-mobility-service</v>
      </c>
    </row>
    <row r="30" spans="1:8" x14ac:dyDescent="0.3">
      <c r="A30" s="27" t="str">
        <f t="shared" si="1"/>
        <v>https://w3id.org/mobilitydcat-ap/mobility-service/transport-service</v>
      </c>
      <c r="B30" s="26" t="s">
        <v>353</v>
      </c>
      <c r="C30" s="28" t="s">
        <v>354</v>
      </c>
    </row>
    <row r="31" spans="1:8" x14ac:dyDescent="0.3">
      <c r="A31" t="str">
        <f t="shared" si="1"/>
        <v>https://w3id.org/mobilitydcat-ap/mobility-service/scheduled</v>
      </c>
      <c r="B31" s="6" t="s">
        <v>97</v>
      </c>
      <c r="C31" s="23" t="s">
        <v>355</v>
      </c>
      <c r="D31" s="1" t="str">
        <f>A30</f>
        <v>https://w3id.org/mobilitydcat-ap/mobility-service/transport-service</v>
      </c>
    </row>
    <row r="32" spans="1:8" ht="28.8" x14ac:dyDescent="0.3">
      <c r="A32" t="str">
        <f t="shared" si="1"/>
        <v>https://w3id.org/mobilitydcat-ap/mobility-service/semi-scheduled</v>
      </c>
      <c r="B32" s="6" t="s">
        <v>356</v>
      </c>
      <c r="C32" s="23" t="s">
        <v>357</v>
      </c>
      <c r="D32" s="1" t="str">
        <f>A30</f>
        <v>https://w3id.org/mobilitydcat-ap/mobility-service/transport-service</v>
      </c>
    </row>
    <row r="33" spans="1:4" x14ac:dyDescent="0.3">
      <c r="A33" t="str">
        <f t="shared" si="1"/>
        <v>https://w3id.org/mobilitydcat-ap/mobility-service/on-demand</v>
      </c>
      <c r="B33" s="6" t="s">
        <v>358</v>
      </c>
      <c r="C33" s="23" t="s">
        <v>359</v>
      </c>
      <c r="D33" s="1" t="str">
        <f>A30</f>
        <v>https://w3id.org/mobilitydcat-ap/mobility-service/transport-service</v>
      </c>
    </row>
    <row r="34" spans="1:4" x14ac:dyDescent="0.3">
      <c r="A34" t="str">
        <f t="shared" si="1"/>
        <v>https://w3id.org/mobilitydcat-ap/mobility-service/fixed-route</v>
      </c>
      <c r="B34" s="6" t="s">
        <v>109</v>
      </c>
      <c r="C34" s="23" t="s">
        <v>360</v>
      </c>
      <c r="D34" s="1" t="str">
        <f>A30</f>
        <v>https://w3id.org/mobilitydcat-ap/mobility-service/transport-service</v>
      </c>
    </row>
    <row r="35" spans="1:4" x14ac:dyDescent="0.3">
      <c r="A35" t="str">
        <f t="shared" si="1"/>
        <v>https://w3id.org/mobilitydcat-ap/mobility-service/flexible</v>
      </c>
      <c r="B35" s="6" t="s">
        <v>107</v>
      </c>
      <c r="C35" s="23" t="s">
        <v>361</v>
      </c>
      <c r="D35" s="1" t="str">
        <f>A30</f>
        <v>https://w3id.org/mobilitydcat-ap/mobility-service/transport-service</v>
      </c>
    </row>
    <row r="36" spans="1:4" ht="28.8" x14ac:dyDescent="0.3">
      <c r="A36" t="str">
        <f t="shared" si="1"/>
        <v>https://w3id.org/mobilitydcat-ap/mobility-service/door-to-door</v>
      </c>
      <c r="B36" s="6" t="s">
        <v>362</v>
      </c>
      <c r="C36" s="23" t="s">
        <v>363</v>
      </c>
      <c r="D36" s="1" t="str">
        <f>A30</f>
        <v>https://w3id.org/mobilitydcat-ap/mobility-service/transport-service</v>
      </c>
    </row>
    <row r="37" spans="1:4" ht="28.8" x14ac:dyDescent="0.3">
      <c r="A37" t="str">
        <f t="shared" si="1"/>
        <v>https://w3id.org/mobilitydcat-ap/mobility-service/shuttle-service</v>
      </c>
      <c r="B37" s="6" t="s">
        <v>307</v>
      </c>
      <c r="C37" s="23" t="s">
        <v>364</v>
      </c>
      <c r="D37" s="1" t="str">
        <f>A30</f>
        <v>https://w3id.org/mobilitydcat-ap/mobility-service/transport-service</v>
      </c>
    </row>
    <row r="38" spans="1:4" ht="28.8" x14ac:dyDescent="0.3">
      <c r="A38" t="str">
        <f t="shared" si="0"/>
        <v>https://w3id.org/mobilitydcat-ap/mobility-service/taxi</v>
      </c>
      <c r="B38" s="6" t="s">
        <v>113</v>
      </c>
      <c r="C38" s="23" t="s">
        <v>365</v>
      </c>
      <c r="D38" s="1" t="str">
        <f>A30</f>
        <v>https://w3id.org/mobilitydcat-ap/mobility-service/transport-service</v>
      </c>
    </row>
    <row r="39" spans="1:4" ht="28.8" x14ac:dyDescent="0.3">
      <c r="A39" t="str">
        <f t="shared" si="0"/>
        <v>https://w3id.org/mobilitydcat-ap/mobility-service/ride-hailing</v>
      </c>
      <c r="B39" s="6" t="s">
        <v>366</v>
      </c>
      <c r="C39" s="23" t="s">
        <v>367</v>
      </c>
      <c r="D39" s="1" t="str">
        <f>A30</f>
        <v>https://w3id.org/mobilitydcat-ap/mobility-service/transport-service</v>
      </c>
    </row>
  </sheetData>
  <phoneticPr fontId="3" type="noConversion"/>
  <hyperlinks>
    <hyperlink ref="B1" r:id="rId1" xr:uid="{52B064DE-BD46-4A3C-971C-8AD3F9303960}"/>
    <hyperlink ref="B16" r:id="rId2" xr:uid="{8F7CCE44-3A5D-427F-A63D-465CE95BD5AB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48505E66128D48AAED90CD5CD3616F" ma:contentTypeVersion="16" ma:contentTypeDescription="Create a new document." ma:contentTypeScope="" ma:versionID="fc5d2d94b5e314f8d7afecc6215f6be4">
  <xsd:schema xmlns:xsd="http://www.w3.org/2001/XMLSchema" xmlns:xs="http://www.w3.org/2001/XMLSchema" xmlns:p="http://schemas.microsoft.com/office/2006/metadata/properties" xmlns:ns2="c386cf2f-2f8b-4d8e-84b2-f14abf7317aa" xmlns:ns3="13e36eaf-61a1-47aa-b343-0f7d626aa9a0" targetNamespace="http://schemas.microsoft.com/office/2006/metadata/properties" ma:root="true" ma:fieldsID="f994fb40b965d01e7e08c4f92ceb61cd" ns2:_="" ns3:_="">
    <xsd:import namespace="c386cf2f-2f8b-4d8e-84b2-f14abf7317aa"/>
    <xsd:import namespace="13e36eaf-61a1-47aa-b343-0f7d626aa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6cf2f-2f8b-4d8e-84b2-f14abf731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4381483-150a-4726-b180-307f5f59d1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36eaf-61a1-47aa-b343-0f7d626aa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7b0293-1299-401f-a92e-ea8ec6326420}" ma:internalName="TaxCatchAll" ma:showField="CatchAllData" ma:web="13e36eaf-61a1-47aa-b343-0f7d626aa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e36eaf-61a1-47aa-b343-0f7d626aa9a0" xsi:nil="true"/>
    <lcf76f155ced4ddcb4097134ff3c332f xmlns="c386cf2f-2f8b-4d8e-84b2-f14abf7317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4E852E-38F4-443F-ABCC-E4BE204372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799EA1-9D9B-4761-AC56-2401CB930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6cf2f-2f8b-4d8e-84b2-f14abf7317aa"/>
    <ds:schemaRef ds:uri="13e36eaf-61a1-47aa-b343-0f7d626aa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E07F1C-30C1-44FD-9041-9A393B69CD1A}">
  <ds:schemaRefs>
    <ds:schemaRef ds:uri="http://schemas.microsoft.com/office/2006/metadata/properties"/>
    <ds:schemaRef ds:uri="http://schemas.microsoft.com/office/infopath/2007/PartnerControls"/>
    <ds:schemaRef ds:uri="13e36eaf-61a1-47aa-b343-0f7d626aa9a0"/>
    <ds:schemaRef ds:uri="c386cf2f-2f8b-4d8e-84b2-f14abf7317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Refactor Proposal</vt:lpstr>
      <vt:lpstr>proposal2(PB)</vt:lpstr>
      <vt:lpstr>Vocabulary</vt:lpstr>
    </vt:vector>
  </TitlesOfParts>
  <Manager/>
  <Company>Sparna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lastModifiedBy>Mario Scrocca</cp:lastModifiedBy>
  <cp:revision/>
  <dcterms:created xsi:type="dcterms:W3CDTF">2016-10-10T08:31:34Z</dcterms:created>
  <dcterms:modified xsi:type="dcterms:W3CDTF">2026-10-20T06:55:25Z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0x0101006748505E66128D48AAED90CD5CD3616F</vt:lpwstr>
  </property>
  <property fmtid="{D5CDD505-2E9C-101B-9397-08002B2CF9AE}" pid="3" name="MediaServiceImageTags">
    <vt:lpwstr/>
  </property>
</Properties>
</file>