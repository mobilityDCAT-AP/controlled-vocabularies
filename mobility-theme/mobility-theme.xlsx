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765DA844-301F-4959-A8DD-12A3D7C4C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2" r:id="rId1"/>
    <sheet name="Delegated Regulations" sheetId="3" r:id="rId2"/>
  </sheets>
  <definedNames>
    <definedName name="_xlnm._FilterDatabase" localSheetId="0" hidden="1">Vocabulary!$A$23:$I$200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9" i="2" l="1"/>
  <c r="A91" i="2"/>
  <c r="A90" i="2"/>
  <c r="A89" i="2"/>
  <c r="A135" i="2"/>
  <c r="H170" i="2" l="1"/>
  <c r="H134" i="2"/>
  <c r="B1" i="2"/>
  <c r="A77" i="2" s="1"/>
  <c r="H76" i="2" s="1"/>
  <c r="A75" i="2" l="1"/>
  <c r="H74" i="2" s="1"/>
  <c r="A119" i="2"/>
  <c r="H118" i="2" s="1"/>
  <c r="A120" i="2"/>
  <c r="A121" i="2"/>
  <c r="H120" i="2" s="1"/>
  <c r="A122" i="2"/>
  <c r="A123" i="2"/>
  <c r="H122" i="2" s="1"/>
  <c r="A43" i="2"/>
  <c r="A82" i="2"/>
  <c r="A70" i="2"/>
  <c r="A73" i="2"/>
  <c r="A72" i="2"/>
  <c r="A69" i="2"/>
  <c r="A71" i="2"/>
  <c r="A180" i="2"/>
  <c r="A153" i="2"/>
  <c r="A163" i="2"/>
  <c r="A190" i="2"/>
  <c r="A191" i="2"/>
  <c r="A192" i="2"/>
  <c r="A193" i="2"/>
  <c r="A194" i="2"/>
  <c r="H196" i="2" s="1"/>
  <c r="A195" i="2"/>
  <c r="A162" i="2"/>
  <c r="A174" i="2"/>
  <c r="A139" i="2"/>
  <c r="H138" i="2" s="1"/>
  <c r="A143" i="2"/>
  <c r="H142" i="2" s="1"/>
  <c r="A141" i="2"/>
  <c r="H140" i="2" s="1"/>
  <c r="A137" i="2"/>
  <c r="A138" i="2"/>
  <c r="A133" i="2"/>
  <c r="A63" i="2"/>
  <c r="A64" i="2"/>
  <c r="A58" i="2"/>
  <c r="A56" i="2"/>
  <c r="A57" i="2"/>
  <c r="A132" i="2"/>
  <c r="A164" i="2"/>
  <c r="H163" i="2" s="1"/>
  <c r="A165" i="2"/>
  <c r="A166" i="2"/>
  <c r="A167" i="2"/>
  <c r="A168" i="2"/>
  <c r="A81" i="2"/>
  <c r="A118" i="2"/>
  <c r="A55" i="2"/>
  <c r="A134" i="2"/>
  <c r="A170" i="2"/>
  <c r="A115" i="2"/>
  <c r="A171" i="2"/>
  <c r="A32" i="2"/>
  <c r="A34" i="2"/>
  <c r="A35" i="2"/>
  <c r="H34" i="2" s="1"/>
  <c r="A27" i="2"/>
  <c r="A30" i="2"/>
  <c r="A42" i="2"/>
  <c r="A40" i="2"/>
  <c r="A39" i="2"/>
  <c r="A24" i="2"/>
  <c r="A38" i="2"/>
  <c r="A66" i="2"/>
  <c r="A86" i="2"/>
  <c r="B16" i="2"/>
  <c r="A125" i="2"/>
  <c r="A113" i="2"/>
  <c r="A148" i="2"/>
  <c r="A196" i="2"/>
  <c r="A105" i="2"/>
  <c r="A136" i="2"/>
  <c r="A175" i="2"/>
  <c r="A74" i="2"/>
  <c r="A183" i="2"/>
  <c r="A157" i="2"/>
  <c r="A46" i="2"/>
  <c r="A182" i="2"/>
  <c r="A173" i="2"/>
  <c r="A156" i="2"/>
  <c r="A147" i="2"/>
  <c r="A124" i="2"/>
  <c r="A112" i="2"/>
  <c r="A104" i="2"/>
  <c r="A96" i="2"/>
  <c r="A85" i="2"/>
  <c r="A68" i="2"/>
  <c r="A53" i="2"/>
  <c r="A45" i="2"/>
  <c r="A33" i="2"/>
  <c r="H32" i="2" s="1"/>
  <c r="A189" i="2"/>
  <c r="A181" i="2"/>
  <c r="A172" i="2"/>
  <c r="A155" i="2"/>
  <c r="A146" i="2"/>
  <c r="A131" i="2"/>
  <c r="A111" i="2"/>
  <c r="A103" i="2"/>
  <c r="A95" i="2"/>
  <c r="A84" i="2"/>
  <c r="A67" i="2"/>
  <c r="A52" i="2"/>
  <c r="A44" i="2"/>
  <c r="A31" i="2"/>
  <c r="H30" i="2" s="1"/>
  <c r="A188" i="2"/>
  <c r="A179" i="2"/>
  <c r="A154" i="2"/>
  <c r="A145" i="2"/>
  <c r="A130" i="2"/>
  <c r="A110" i="2"/>
  <c r="A102" i="2"/>
  <c r="A94" i="2"/>
  <c r="A83" i="2"/>
  <c r="A65" i="2"/>
  <c r="A51" i="2"/>
  <c r="A29" i="2"/>
  <c r="A54" i="2"/>
  <c r="A200" i="2"/>
  <c r="A187" i="2"/>
  <c r="A161" i="2"/>
  <c r="A152" i="2"/>
  <c r="A144" i="2"/>
  <c r="A129" i="2"/>
  <c r="A109" i="2"/>
  <c r="A101" i="2"/>
  <c r="A93" i="2"/>
  <c r="A80" i="2"/>
  <c r="A62" i="2"/>
  <c r="A50" i="2"/>
  <c r="A41" i="2"/>
  <c r="A28" i="2"/>
  <c r="H27" i="2" s="1"/>
  <c r="A199" i="2"/>
  <c r="A186" i="2"/>
  <c r="A178" i="2"/>
  <c r="A160" i="2"/>
  <c r="A151" i="2"/>
  <c r="A142" i="2"/>
  <c r="A128" i="2"/>
  <c r="A117" i="2"/>
  <c r="A108" i="2"/>
  <c r="A100" i="2"/>
  <c r="A92" i="2"/>
  <c r="A79" i="2"/>
  <c r="A61" i="2"/>
  <c r="A49" i="2"/>
  <c r="A26" i="2"/>
  <c r="A198" i="2"/>
  <c r="A185" i="2"/>
  <c r="A177" i="2"/>
  <c r="A159" i="2"/>
  <c r="A150" i="2"/>
  <c r="A140" i="2"/>
  <c r="A127" i="2"/>
  <c r="A116" i="2"/>
  <c r="A107" i="2"/>
  <c r="A99" i="2"/>
  <c r="A88" i="2"/>
  <c r="A78" i="2"/>
  <c r="A60" i="2"/>
  <c r="A48" i="2"/>
  <c r="A37" i="2"/>
  <c r="A25" i="2"/>
  <c r="A97" i="2"/>
  <c r="A197" i="2"/>
  <c r="A184" i="2"/>
  <c r="A176" i="2"/>
  <c r="A158" i="2"/>
  <c r="A149" i="2"/>
  <c r="A126" i="2"/>
  <c r="A114" i="2"/>
  <c r="A106" i="2"/>
  <c r="A98" i="2"/>
  <c r="A87" i="2"/>
  <c r="A76" i="2"/>
  <c r="A59" i="2"/>
  <c r="A47" i="2"/>
  <c r="A36" i="2"/>
  <c r="H161" i="2" l="1"/>
  <c r="H177" i="2"/>
  <c r="E47" i="2"/>
  <c r="H176" i="2"/>
  <c r="E135" i="2"/>
  <c r="E126" i="2"/>
  <c r="E59" i="2"/>
  <c r="H154" i="2"/>
  <c r="H152" i="2"/>
  <c r="F163" i="2"/>
  <c r="F180" i="2"/>
  <c r="F179" i="2"/>
  <c r="F152" i="2"/>
  <c r="F153" i="2"/>
  <c r="F77" i="2"/>
  <c r="F82" i="2"/>
  <c r="E37" i="2"/>
  <c r="H79" i="2"/>
  <c r="H68" i="2"/>
  <c r="H83" i="2"/>
  <c r="H78" i="2"/>
  <c r="H67" i="2"/>
  <c r="F75" i="2"/>
  <c r="F73" i="2"/>
  <c r="F72" i="2"/>
  <c r="F71" i="2"/>
  <c r="F70" i="2"/>
  <c r="F69" i="2"/>
  <c r="F68" i="2"/>
  <c r="F195" i="2"/>
  <c r="F192" i="2"/>
  <c r="F194" i="2"/>
  <c r="F193" i="2"/>
  <c r="F191" i="2"/>
  <c r="F190" i="2"/>
  <c r="F123" i="2"/>
  <c r="F121" i="2"/>
  <c r="F119" i="2"/>
  <c r="F117" i="2"/>
  <c r="F43" i="2"/>
  <c r="F42" i="2"/>
  <c r="H197" i="2"/>
  <c r="H190" i="2"/>
  <c r="H189" i="2"/>
  <c r="H188" i="2"/>
  <c r="H187" i="2"/>
  <c r="H186" i="2"/>
  <c r="H185" i="2"/>
  <c r="H184" i="2"/>
  <c r="H183" i="2"/>
  <c r="H182" i="2"/>
  <c r="H181" i="2"/>
  <c r="E180" i="2"/>
  <c r="F133" i="2"/>
  <c r="F132" i="2"/>
  <c r="E26" i="2"/>
  <c r="H62" i="2"/>
  <c r="H65" i="2"/>
  <c r="H136" i="2"/>
  <c r="H175" i="2"/>
  <c r="H173" i="2"/>
  <c r="F174" i="2"/>
  <c r="F175" i="2"/>
  <c r="F162" i="2"/>
  <c r="F161" i="2"/>
  <c r="F143" i="2"/>
  <c r="F141" i="2"/>
  <c r="F139" i="2"/>
  <c r="F137" i="2"/>
  <c r="F136" i="2"/>
  <c r="F90" i="2"/>
  <c r="F91" i="2"/>
  <c r="F89" i="2"/>
  <c r="F88" i="2"/>
  <c r="H88" i="2"/>
  <c r="H87" i="2"/>
  <c r="H86" i="2"/>
  <c r="H85" i="2"/>
  <c r="E84" i="2"/>
  <c r="F63" i="2"/>
  <c r="F64" i="2"/>
  <c r="F58" i="2"/>
  <c r="F57" i="2"/>
  <c r="F56" i="2"/>
  <c r="F169" i="2"/>
  <c r="F168" i="2"/>
  <c r="F167" i="2"/>
  <c r="F166" i="2"/>
  <c r="F165" i="2"/>
  <c r="F164" i="2"/>
  <c r="E66" i="2"/>
  <c r="F81" i="2"/>
  <c r="E113" i="2"/>
  <c r="F197" i="2"/>
  <c r="F55" i="2"/>
  <c r="F54" i="2"/>
  <c r="F25" i="2"/>
  <c r="F37" i="2"/>
  <c r="F44" i="2"/>
  <c r="F26" i="2"/>
  <c r="F47" i="2"/>
  <c r="F59" i="2"/>
  <c r="F66" i="2"/>
  <c r="F84" i="2"/>
  <c r="F92" i="2"/>
  <c r="F96" i="2"/>
  <c r="F106" i="2"/>
  <c r="F109" i="2"/>
  <c r="F113" i="2"/>
  <c r="F126" i="2"/>
  <c r="F134" i="2"/>
  <c r="F135" i="2"/>
  <c r="F170" i="2"/>
  <c r="F200" i="2"/>
  <c r="F199" i="2"/>
  <c r="F198" i="2"/>
  <c r="F196" i="2"/>
  <c r="F189" i="2"/>
  <c r="F188" i="2"/>
  <c r="F160" i="2"/>
  <c r="F157" i="2"/>
  <c r="F155" i="2"/>
  <c r="F150" i="2"/>
  <c r="F83" i="2"/>
  <c r="F79" i="2"/>
  <c r="F78" i="2"/>
  <c r="F67" i="2"/>
  <c r="F62" i="2"/>
  <c r="F187" i="2"/>
  <c r="F186" i="2"/>
  <c r="F185" i="2"/>
  <c r="F184" i="2"/>
  <c r="F183" i="2"/>
  <c r="F182" i="2"/>
  <c r="F181" i="2"/>
  <c r="F178" i="2"/>
  <c r="F176" i="2"/>
  <c r="F173" i="2"/>
  <c r="F172" i="2"/>
  <c r="F171" i="2"/>
  <c r="F159" i="2"/>
  <c r="F156" i="2"/>
  <c r="F154" i="2"/>
  <c r="F151" i="2"/>
  <c r="F149" i="2"/>
  <c r="F87" i="2"/>
  <c r="F86" i="2"/>
  <c r="F80" i="2"/>
  <c r="F74" i="2"/>
  <c r="F177" i="2"/>
  <c r="F158" i="2"/>
  <c r="F148" i="2"/>
  <c r="F147" i="2"/>
  <c r="F146" i="2"/>
  <c r="F145" i="2"/>
  <c r="F144" i="2"/>
  <c r="F142" i="2"/>
  <c r="F140" i="2"/>
  <c r="F138" i="2"/>
  <c r="F131" i="2"/>
  <c r="F130" i="2"/>
  <c r="F129" i="2"/>
  <c r="F128" i="2"/>
  <c r="F127" i="2"/>
  <c r="F125" i="2"/>
  <c r="F124" i="2"/>
  <c r="F122" i="2"/>
  <c r="F120" i="2"/>
  <c r="F118" i="2"/>
  <c r="F116" i="2"/>
  <c r="F115" i="2"/>
  <c r="F114" i="2"/>
  <c r="F112" i="2"/>
  <c r="F111" i="2"/>
  <c r="F110" i="2"/>
  <c r="F108" i="2"/>
  <c r="F105" i="2"/>
  <c r="F104" i="2"/>
  <c r="F103" i="2"/>
  <c r="F102" i="2"/>
  <c r="F101" i="2"/>
  <c r="F100" i="2"/>
  <c r="F99" i="2"/>
  <c r="F98" i="2"/>
  <c r="F97" i="2"/>
  <c r="F95" i="2"/>
  <c r="F94" i="2"/>
  <c r="F93" i="2"/>
  <c r="F85" i="2"/>
  <c r="F76" i="2"/>
  <c r="F65" i="2"/>
  <c r="F107" i="2"/>
  <c r="F61" i="2"/>
  <c r="F60" i="2"/>
  <c r="F53" i="2"/>
  <c r="F52" i="2"/>
  <c r="F51" i="2"/>
  <c r="F50" i="2"/>
  <c r="F49" i="2"/>
  <c r="F48" i="2"/>
  <c r="F46" i="2"/>
  <c r="F41" i="2"/>
  <c r="F40" i="2"/>
  <c r="F39" i="2"/>
  <c r="F38" i="2"/>
  <c r="F36" i="2"/>
  <c r="F35" i="2"/>
  <c r="F33" i="2"/>
  <c r="F32" i="2"/>
  <c r="F31" i="2"/>
  <c r="F30" i="2"/>
  <c r="F29" i="2"/>
  <c r="F28" i="2"/>
  <c r="F27" i="2"/>
  <c r="F45" i="2"/>
  <c r="F34" i="2"/>
  <c r="E109" i="2"/>
  <c r="E44" i="2"/>
  <c r="E106" i="2"/>
  <c r="E96" i="2"/>
  <c r="E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tc={19405A8C-0548-4A9E-8E9A-505E9750B76D}</author>
  </authors>
  <commentList>
    <comment ref="B197" authorId="0" shapeId="0" xr:uid="{19405A8C-0548-4A9E-8E9A-505E9750B76D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duplicated under Public Transport category, missing DR information. Should we move it somewhere else?</t>
      </text>
    </comment>
  </commentList>
</comments>
</file>

<file path=xl/sharedStrings.xml><?xml version="1.0" encoding="utf-8"?>
<sst xmlns="http://schemas.openxmlformats.org/spreadsheetml/2006/main" count="446" uniqueCount="261">
  <si>
    <t>ConceptScheme URI</t>
  </si>
  <si>
    <t>dct:title</t>
  </si>
  <si>
    <t>dct:description</t>
  </si>
  <si>
    <t>Controlled vocabulary for the classification of the theme for a mobility dataset.</t>
  </si>
  <si>
    <t>dct:creator</t>
  </si>
  <si>
    <t>Mario Scrocca (Cefriel)</t>
  </si>
  <si>
    <t>Peter Lubrich (BASt)</t>
  </si>
  <si>
    <t>dct:publisher</t>
  </si>
  <si>
    <t>dct:contributor</t>
  </si>
  <si>
    <t>Benjamin Witsch (AustriaTech)</t>
  </si>
  <si>
    <t>Valentina Carriero (Cefriel)</t>
  </si>
  <si>
    <t>Julien Martineau (NGI)</t>
  </si>
  <si>
    <t>Jasper Beernaerts (NGI)</t>
  </si>
  <si>
    <t>owl:versionInfo</t>
  </si>
  <si>
    <t>2.0.0</t>
  </si>
  <si>
    <t>owl:versionIRI</t>
  </si>
  <si>
    <t>owl:priorVersion</t>
  </si>
  <si>
    <t>https://w3id.org/mobilitydcat-ap/mobility-theme/1.1.1</t>
  </si>
  <si>
    <t>dct:license</t>
  </si>
  <si>
    <t>https://creativecommons.org/licenses/by/4.0/</t>
  </si>
  <si>
    <t>http://purl.org/ontology/bibo/status</t>
  </si>
  <si>
    <t>URI</t>
  </si>
  <si>
    <t>skos:prefLabel@en</t>
  </si>
  <si>
    <t>skos:prefLabel@de</t>
  </si>
  <si>
    <t>skos:definition</t>
  </si>
  <si>
    <t>skos:narrower</t>
  </si>
  <si>
    <t>skos:broader</t>
  </si>
  <si>
    <t>owl:deprecated^^xsd:boolean</t>
  </si>
  <si>
    <t>http://data.europa.eu/r5r/applicableLegislation</t>
  </si>
  <si>
    <t>Data content category</t>
  </si>
  <si>
    <t>Data content sub-category</t>
  </si>
  <si>
    <t>Static road network data</t>
  </si>
  <si>
    <t>http://data.europa.eu/eli/reg_del/2022/670/oj</t>
  </si>
  <si>
    <t>Geometry</t>
  </si>
  <si>
    <t>Road network geometry</t>
  </si>
  <si>
    <t>Road width</t>
  </si>
  <si>
    <t>Number of lanes</t>
  </si>
  <si>
    <t>Road number of lanes</t>
  </si>
  <si>
    <t>Gradients</t>
  </si>
  <si>
    <t>Road gradients</t>
  </si>
  <si>
    <t>Junctions</t>
  </si>
  <si>
    <t>Road junctions</t>
  </si>
  <si>
    <t>Road classification</t>
  </si>
  <si>
    <t>Cycle network data</t>
  </si>
  <si>
    <t>http://data.europa.eu/eli/reg_del/2024/490/oj</t>
  </si>
  <si>
    <t>Network geometry and lane character</t>
  </si>
  <si>
    <t>https://w3id.org/mobilitydcat-ap/mobility-theme/cycle-network-geometry</t>
  </si>
  <si>
    <t>Cycle network geometry</t>
  </si>
  <si>
    <t>Cycle network geometry and lane character</t>
  </si>
  <si>
    <t>Network detailed attributes</t>
  </si>
  <si>
    <t>https://w3id.org/mobilitydcat-ap/mobility-theme/cycle-network-detailed-attributes</t>
  </si>
  <si>
    <t>Cycle network detailed attributes</t>
  </si>
  <si>
    <t>Network closures/diversions</t>
  </si>
  <si>
    <t>https://w3id.org/mobilitydcat-ap/mobility-theme/cycle-network-closures-diversions</t>
  </si>
  <si>
    <t>Cycle network closures/diversions</t>
  </si>
  <si>
    <t>Pedestrian network data</t>
  </si>
  <si>
    <t>Pedestrian network geometry</t>
  </si>
  <si>
    <t>Pedestrian accessibility facilities</t>
  </si>
  <si>
    <t>Static traffic signs and regulations</t>
  </si>
  <si>
    <t>Tunnel access conditions</t>
  </si>
  <si>
    <t>Bridge access conditions</t>
  </si>
  <si>
    <t>Speed limits</t>
  </si>
  <si>
    <t>Other static traffic signs</t>
  </si>
  <si>
    <t>Permanent access restrictions</t>
  </si>
  <si>
    <t>Other traffic regulations</t>
  </si>
  <si>
    <t>Traffic circulation plans</t>
  </si>
  <si>
    <t>Static overtaking bans on heavy goods vehicles</t>
  </si>
  <si>
    <t>Weight/length/width/height restrictions</t>
  </si>
  <si>
    <t>One-way streets</t>
  </si>
  <si>
    <t>Regulated traffic zones</t>
  </si>
  <si>
    <t>boundaries of restrictions, prohibitions or obligations with zonal validity, current access status and conditions for circulation in regulated traffic zones</t>
  </si>
  <si>
    <t>Toll information</t>
  </si>
  <si>
    <t>Location of tolling stations</t>
  </si>
  <si>
    <t>Identification of tolled roads</t>
  </si>
  <si>
    <t>Applicable road user charges and payment methods</t>
  </si>
  <si>
    <t>Fixed road user charges and payment methods</t>
  </si>
  <si>
    <t>Variable road user charges and payment methods</t>
  </si>
  <si>
    <t>Payment methods for tolls</t>
  </si>
  <si>
    <t>Parking, service and rest area information</t>
  </si>
  <si>
    <t>http://data.europa.eu/eli/reg_del/2013/885/oj, http://data.europa.eu/eli/reg_del/2024/490/oj, http://data.europa.eu/eli/reg_del/2022/670/oj</t>
  </si>
  <si>
    <t>Car parking locations and conditions</t>
  </si>
  <si>
    <t>Car parking availability</t>
  </si>
  <si>
    <t>Parking Locations, Description and Facilities</t>
  </si>
  <si>
    <t>Parking Zones</t>
  </si>
  <si>
    <t>Parking Real-time Availability</t>
  </si>
  <si>
    <t>Parking Conditions and Tariffs</t>
  </si>
  <si>
    <t>Parking Payment Points and Methods</t>
  </si>
  <si>
    <t>Where and how to pay for parking, including retail channels and fulfilment methods</t>
  </si>
  <si>
    <t>Service and rest area locations and conditions</t>
  </si>
  <si>
    <t>Service and Rest Area Locations, Description and Facilities</t>
  </si>
  <si>
    <t>Service and Rest Area Availability</t>
  </si>
  <si>
    <t>Service and Rest Area Real-time Availability</t>
  </si>
  <si>
    <t>Truck parking locations and conditions</t>
  </si>
  <si>
    <t>http://data.europa.eu/eli/reg_del/2013/885/oj</t>
  </si>
  <si>
    <t>Truck parking availability</t>
  </si>
  <si>
    <t>Park and Ride stops</t>
  </si>
  <si>
    <t>Park and get public transport</t>
  </si>
  <si>
    <t>Park and Drive stops</t>
  </si>
  <si>
    <t>Park and car pooling</t>
  </si>
  <si>
    <t>Kiss and Ride stops</t>
  </si>
  <si>
    <t>Bike-parking locations</t>
  </si>
  <si>
    <t>Filling and charging stations</t>
  </si>
  <si>
    <t>http://data.europa.eu/eli/reg_del/2022/670/oj, http://data.europa.eu/eli/reg/2023/1804/oj</t>
  </si>
  <si>
    <t>Location and conditions of charging points</t>
  </si>
  <si>
    <t>Location and conditions of filling stations</t>
  </si>
  <si>
    <t>Availability of charging points for electric vehicles</t>
  </si>
  <si>
    <t>Availability of filling stations</t>
  </si>
  <si>
    <t>Availability of filling stations and charging stations</t>
  </si>
  <si>
    <t>Prices of filling stations and charging stations</t>
  </si>
  <si>
    <t>Freight and logistics</t>
  </si>
  <si>
    <t>Freight delivery regulations</t>
  </si>
  <si>
    <t>Location of delivery areas</t>
  </si>
  <si>
    <t>Availability of delivery areas</t>
  </si>
  <si>
    <t>Dynamic traffic signs and regulations</t>
  </si>
  <si>
    <t>Road closures and access conditions</t>
  </si>
  <si>
    <t>Lane closures and access conditions</t>
  </si>
  <si>
    <t>Bridge closures and access conditions</t>
  </si>
  <si>
    <t>Tunnel closures and access conditions</t>
  </si>
  <si>
    <t>Other access restrictions and traffic regulations</t>
  </si>
  <si>
    <t>Dynamic overtaking bans on heavy goods vehicles</t>
  </si>
  <si>
    <t>Dynamic speed limits</t>
  </si>
  <si>
    <t>Direction of travel on reversible lanes</t>
  </si>
  <si>
    <t>Other temporary traffic management measures or plans</t>
  </si>
  <si>
    <t>Road work information</t>
  </si>
  <si>
    <t>http://data.europa.eu/eli/reg_del/2022/670/oj, http://data.europa.eu/eli/reg_del/2013/886/oj</t>
  </si>
  <si>
    <t>Long-term road works</t>
  </si>
  <si>
    <t>Short-term road works</t>
  </si>
  <si>
    <t>Road events and conditions</t>
  </si>
  <si>
    <t>Accidents and incidents</t>
  </si>
  <si>
    <t>Poor road conditions</t>
  </si>
  <si>
    <t>Road weather conditions</t>
  </si>
  <si>
    <t>Real-time traffic data</t>
  </si>
  <si>
    <t>Traffic volume</t>
  </si>
  <si>
    <t>Speed</t>
  </si>
  <si>
    <t>https://w3id.org/mobilitydcat-ap/mobility-theme/traffic-speed</t>
  </si>
  <si>
    <t>Traffic speed</t>
  </si>
  <si>
    <t>Location and length of traffic queues</t>
  </si>
  <si>
    <t>Current travel times</t>
  </si>
  <si>
    <t>Current road travel times</t>
  </si>
  <si>
    <t>Predicted travel times</t>
  </si>
  <si>
    <t>Predicted road travel times</t>
  </si>
  <si>
    <t>Expected delays</t>
  </si>
  <si>
    <t>Expected road traffic delays</t>
  </si>
  <si>
    <t>Waiting time at border crossings to non-EU Member States</t>
  </si>
  <si>
    <t>Traffic data at border crossings to third countries</t>
  </si>
  <si>
    <t>General information for trip-planning</t>
  </si>
  <si>
    <t>Address identifiers</t>
  </si>
  <si>
    <t>Topographic places</t>
  </si>
  <si>
    <t>Points of interest</t>
  </si>
  <si>
    <t>Parameters needed to calculate environmental factors</t>
  </si>
  <si>
    <t>parameters needed to calculate an environmental factor such as greenhouse gas emissions per vehicle type or passenger mile or per distance walked</t>
  </si>
  <si>
    <t>Parameters needed to calculate costs</t>
  </si>
  <si>
    <t>https://w3id.org/mobilitydcat-ap/mobility-theme/parameters-needed-to-calculate-fuel-consumption-of-conventional-and-alternative-fuels</t>
  </si>
  <si>
    <t>Parameters needed to calculate energy-fuel consumption</t>
  </si>
  <si>
    <t>Parameters needed to calculate fuel consumption of conventional and alternative fuels</t>
  </si>
  <si>
    <t>Estimated travel times for multimodal trip-planning</t>
  </si>
  <si>
    <t>Estimated travel times by day type and time-band by transport mode/combination of transport modes</t>
  </si>
  <si>
    <t>Public transport scheduled transport</t>
  </si>
  <si>
    <t>Public transport and on-demand services</t>
  </si>
  <si>
    <t>Stop facilities location and features</t>
  </si>
  <si>
    <t>Facility location and features</t>
  </si>
  <si>
    <t>Stop facilities geometry and map layout</t>
  </si>
  <si>
    <t>Facility geometry and map layout</t>
  </si>
  <si>
    <t>Stop facilities status of features</t>
  </si>
  <si>
    <t>Facility features status</t>
  </si>
  <si>
    <t>Stop facilities accessibility and paths within facility</t>
  </si>
  <si>
    <t>Accessibility and paths within facilities</t>
  </si>
  <si>
    <t>Operational calendar</t>
  </si>
  <si>
    <t>Connection links</t>
  </si>
  <si>
    <t>Network topology and routes/lines</t>
  </si>
  <si>
    <t>Transport operators</t>
  </si>
  <si>
    <t>Timetables static</t>
  </si>
  <si>
    <t>Real-time estimated departure and arrival times</t>
  </si>
  <si>
    <t>Planned interchanges between scheduled services</t>
  </si>
  <si>
    <t>Hours of operation</t>
  </si>
  <si>
    <t>Hours of operation and service times</t>
  </si>
  <si>
    <t>Vehicle details</t>
  </si>
  <si>
    <t>Transport Operator Vehicle Fleet Description</t>
  </si>
  <si>
    <t>Transport operator vehicle fleet description including environmental standards</t>
  </si>
  <si>
    <t>Environmental standards for vehicles</t>
  </si>
  <si>
    <t>Disruptions, delays, cancellations</t>
  </si>
  <si>
    <t>Basic common standard fares</t>
  </si>
  <si>
    <t>Passenger classes</t>
  </si>
  <si>
    <t>Common fare products</t>
  </si>
  <si>
    <t>Special fare products</t>
  </si>
  <si>
    <t>Basic commercial conditions</t>
  </si>
  <si>
    <t>Basic commercial conditions such as refunding, replacing, exchanging or transferring.</t>
  </si>
  <si>
    <t>Purchase information</t>
  </si>
  <si>
    <t>Purchase and reservation information</t>
  </si>
  <si>
    <t>Defaut transfer times at interchanges</t>
  </si>
  <si>
    <t>Default transfer times at interchanges</t>
  </si>
  <si>
    <t>Existence of assistance services</t>
  </si>
  <si>
    <t>On site assistance</t>
  </si>
  <si>
    <t>Historic travel and traffic data and delays</t>
  </si>
  <si>
    <t>Observed data on delays and passing time</t>
  </si>
  <si>
    <t>Observed data on cancellations</t>
  </si>
  <si>
    <t>Vehicle occupancy</t>
  </si>
  <si>
    <t>Occupancy information of the vehicle</t>
  </si>
  <si>
    <t>Public transport non-scheduled transport</t>
  </si>
  <si>
    <t>Provider data</t>
  </si>
  <si>
    <t>https://w3id.org/mobilitydcat-ap/mobility-theme/public-transport-provider-data</t>
  </si>
  <si>
    <t>Public transport provider data</t>
  </si>
  <si>
    <t>Service areas and service times</t>
  </si>
  <si>
    <t>Service area</t>
  </si>
  <si>
    <t>Locations and stations</t>
  </si>
  <si>
    <t>Fares</t>
  </si>
  <si>
    <t>Reservation and purchase options</t>
  </si>
  <si>
    <t>Accessibility information for vehicles</t>
  </si>
  <si>
    <t>Sharing and Hiring Services</t>
  </si>
  <si>
    <t>Sharing, Hiring and Renting Services</t>
  </si>
  <si>
    <t>Bike-sharing Locations and stations</t>
  </si>
  <si>
    <t>Car-sharing Locations and stations</t>
  </si>
  <si>
    <t>Bike-hiring Stations</t>
  </si>
  <si>
    <t>Car-hiring Stations</t>
  </si>
  <si>
    <t>E-scooter Sharing Locations and stations</t>
  </si>
  <si>
    <t>Car-sharing Availability</t>
  </si>
  <si>
    <t>Bike sharing Availability</t>
  </si>
  <si>
    <t>Car-hiring Availability</t>
  </si>
  <si>
    <t>Bike-hiring Availability</t>
  </si>
  <si>
    <t>E-scooter Sharing Availability</t>
  </si>
  <si>
    <t>Service Locations and Stations</t>
  </si>
  <si>
    <t>Service Vehicle Fleet Description</t>
  </si>
  <si>
    <t>Service Vehicle Fleet Description including environmental standards</t>
  </si>
  <si>
    <t>Service Real-time Availability</t>
  </si>
  <si>
    <t>Service Payment Methods</t>
  </si>
  <si>
    <t>Service Zones</t>
  </si>
  <si>
    <t>Service Zones including parking zones, no-parking zones, no-entry zones, speed limit zones, etc.</t>
  </si>
  <si>
    <t>Payment methods</t>
  </si>
  <si>
    <t>Air and space travel</t>
  </si>
  <si>
    <t>Waterways and water bodies</t>
  </si>
  <si>
    <t>Other</t>
  </si>
  <si>
    <t>http://data.europa.eu/eli/reg/2023/1804/oj</t>
  </si>
  <si>
    <t>Class URI</t>
  </si>
  <si>
    <t>http://data.europa.eu/eli/ontology#LegalResource</t>
  </si>
  <si>
    <t>PREFIX</t>
  </si>
  <si>
    <t>eli</t>
  </si>
  <si>
    <t>http://data.europa.eu/eli/ontology#</t>
  </si>
  <si>
    <t>rdf:type</t>
  </si>
  <si>
    <t>rdfs:label@en</t>
  </si>
  <si>
    <t>rdfs:description@en</t>
  </si>
  <si>
    <t>eli:LegalResource</t>
  </si>
  <si>
    <t>Safe and Secure Truck Parking (SSTP) - Delegated Regulation No 885/2013</t>
  </si>
  <si>
    <t>Commission Delegated Regulation (EU) No 885/2013 of 15 May 2013 supplementing ITS Directive 2010/40/EU of the European Parliament and of the Council with regard to the provision of information services for safe and secure parking places for trucks and commercial vehicles</t>
  </si>
  <si>
    <t>http://data.europa.eu/eli/reg_del/2013/886/oj</t>
  </si>
  <si>
    <t>Safety Related Traffic Information (SRTI) - Delegated Regulation No 886/2013</t>
  </si>
  <si>
    <t>Commission Delegated Regulation (EU) No 886/2013 of 15 May 2013 supplementing Directive 2010/40/EU of the European Parliament and of the Council with regard to data and procedures for the provision, where possible, of road safety-related minimum universal traffic information free of charge to users</t>
  </si>
  <si>
    <t>Real-time Traffic Information (RTTI) - Delegated Regulation No 2022/670</t>
  </si>
  <si>
    <t>Commission Delegated Regulation (EU) 2022/670 of 2 February 2022 supplementing Directive 2010/40/EU of the European Parliament and of the Council with regard to the provision of EU-wide real-time traffic information services</t>
  </si>
  <si>
    <t>Alternative Fuel Infrastructure Regulation (AFIR) - Regulation No 2023/1804</t>
  </si>
  <si>
    <t>Regulation (EU) 2023/1804 of the European Parliament and of the Council of 13 September 2023 on the deployment of alternative fuels infrastructure, and repealing Directive 2014/94/EU</t>
  </si>
  <si>
    <t>Multi-modal Travel Information Services (MMTIS) - Delegated Regulation No 2024/490</t>
  </si>
  <si>
    <t>Commission Delegated Regulation (EU) 2024/490 of 29 November 2023 amending Delegated Regulation (EU) 2017/1926 supplementing Directive 2010/40/EU of the European Parliament and of the Council with regard to the provision of EU-wide multimodal travel information services</t>
  </si>
  <si>
    <t>Mobility Theme</t>
  </si>
  <si>
    <t>Darko Ilić (ASTRA)</t>
  </si>
  <si>
    <t xml:space="preserve">Sara Guerra de Oliveira (University of Maribor) </t>
  </si>
  <si>
    <t>Ed Ooms (NDW)</t>
  </si>
  <si>
    <t>Christian Rantzow von Huth (Vejdirektoratet)</t>
  </si>
  <si>
    <t>dcterms:isReplacedBy</t>
  </si>
  <si>
    <t>NAPCORE Task 4.4</t>
  </si>
  <si>
    <t>Published Controlled Vocabulary</t>
  </si>
  <si>
    <t>Location and characteristics of filling stations and charging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</si>
</sst>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 applyFill="1"/>
    <xf numFmtId="0" fontId="2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4" fillId="6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o Scrocca" id="{FD7BA37A-6BBE-44AD-99FA-2A89ADEC35FA}" userId="S::mario.scrocca_cefriel.com#ext#@rupprechtconsultde.onmicrosoft.com::4f031d77-4a2e-4815-91eb-7bd33c5e3ea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7" dT="2026-05-18T09:16:59.14" personId="{FD7BA37A-6BBE-44AD-99FA-2A89ADEC35FA}" id="{19405A8C-0548-4A9E-8E9A-505E9750B76D}">
    <text>duplicated under Public Transport category, missing DR information. Should we move it somewhere else?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a.europa.eu/r5r/applicableLegislation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https://w3id.org/mobilitydcat-ap/data-content-category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europa.eu/eli/ontology" TargetMode="External"/><Relationship Id="rId1" Type="http://schemas.openxmlformats.org/officeDocument/2006/relationships/hyperlink" Target="http://data.europa.eu/eli/ont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tabSelected="1" topLeftCell="A181" zoomScaleNormal="100" workbookViewId="0">
      <pane xSplit="1" topLeftCell="B1" activePane="topRight" state="frozen"/>
      <selection pane="topRight" activeCell="A201" sqref="A201"/>
    </sheetView>
  </sheetViews>
  <sheetFormatPr defaultColWidth="11.42578125" defaultRowHeight="15" x14ac:dyDescent="0.25"/>
  <cols>
    <col min="1" max="1" width="98.42578125" bestFit="1" customWidth="1"/>
    <col min="2" max="2" width="77" customWidth="1"/>
    <col min="3" max="3" width="36.85546875" customWidth="1"/>
    <col min="4" max="4" width="51.140625" style="1" customWidth="1"/>
    <col min="5" max="5" width="92.42578125" style="1" customWidth="1"/>
    <col min="6" max="6" width="75.5703125" style="1" customWidth="1"/>
    <col min="7" max="7" width="34" customWidth="1"/>
    <col min="8" max="8" width="91.42578125" style="1" customWidth="1"/>
    <col min="9" max="9" width="58.42578125" customWidth="1"/>
  </cols>
  <sheetData>
    <row r="1" spans="1:3" x14ac:dyDescent="0.25">
      <c r="A1" s="4" t="s">
        <v>0</v>
      </c>
      <c r="B1" s="5" t="str">
        <f>_xlfn.CONCAT("https://w3id.org/mobilitydcat-ap/",SUBSTITUTE(LOWER(B2)," ","-"))</f>
        <v>https://w3id.org/mobilitydcat-ap/mobility-theme</v>
      </c>
      <c r="C1" s="5"/>
    </row>
    <row r="2" spans="1:3" x14ac:dyDescent="0.25">
      <c r="A2" s="4" t="s">
        <v>1</v>
      </c>
      <c r="B2" t="s">
        <v>252</v>
      </c>
    </row>
    <row r="3" spans="1:3" x14ac:dyDescent="0.25">
      <c r="A3" s="4" t="s">
        <v>2</v>
      </c>
      <c r="B3" t="s">
        <v>3</v>
      </c>
    </row>
    <row r="4" spans="1:3" x14ac:dyDescent="0.25">
      <c r="A4" s="4" t="s">
        <v>4</v>
      </c>
      <c r="B4" t="s">
        <v>5</v>
      </c>
    </row>
    <row r="5" spans="1:3" x14ac:dyDescent="0.25">
      <c r="A5" s="4" t="s">
        <v>4</v>
      </c>
      <c r="B5" t="s">
        <v>6</v>
      </c>
    </row>
    <row r="6" spans="1:3" x14ac:dyDescent="0.25">
      <c r="A6" s="4" t="s">
        <v>7</v>
      </c>
      <c r="B6" t="s">
        <v>258</v>
      </c>
    </row>
    <row r="7" spans="1:3" x14ac:dyDescent="0.25">
      <c r="A7" s="4" t="s">
        <v>4</v>
      </c>
      <c r="B7" t="s">
        <v>9</v>
      </c>
    </row>
    <row r="8" spans="1:3" x14ac:dyDescent="0.25">
      <c r="A8" s="4" t="s">
        <v>4</v>
      </c>
      <c r="B8" t="s">
        <v>10</v>
      </c>
    </row>
    <row r="9" spans="1:3" x14ac:dyDescent="0.25">
      <c r="A9" s="4" t="s">
        <v>4</v>
      </c>
      <c r="B9" t="s">
        <v>11</v>
      </c>
    </row>
    <row r="10" spans="1:3" x14ac:dyDescent="0.25">
      <c r="A10" s="4" t="s">
        <v>8</v>
      </c>
      <c r="B10" t="s">
        <v>12</v>
      </c>
    </row>
    <row r="11" spans="1:3" x14ac:dyDescent="0.25">
      <c r="A11" s="4" t="s">
        <v>8</v>
      </c>
      <c r="B11" t="s">
        <v>253</v>
      </c>
    </row>
    <row r="12" spans="1:3" x14ac:dyDescent="0.25">
      <c r="A12" s="4" t="s">
        <v>8</v>
      </c>
      <c r="B12" t="s">
        <v>254</v>
      </c>
    </row>
    <row r="13" spans="1:3" x14ac:dyDescent="0.25">
      <c r="A13" s="4" t="s">
        <v>8</v>
      </c>
      <c r="B13" t="s">
        <v>255</v>
      </c>
    </row>
    <row r="14" spans="1:3" x14ac:dyDescent="0.25">
      <c r="A14" s="4" t="s">
        <v>8</v>
      </c>
      <c r="B14" t="s">
        <v>256</v>
      </c>
    </row>
    <row r="15" spans="1:3" x14ac:dyDescent="0.25">
      <c r="A15" s="4" t="s">
        <v>13</v>
      </c>
      <c r="B15" s="14" t="s">
        <v>14</v>
      </c>
      <c r="C15" s="14"/>
    </row>
    <row r="16" spans="1:3" x14ac:dyDescent="0.25">
      <c r="A16" s="4" t="s">
        <v>15</v>
      </c>
      <c r="B16" t="str">
        <f>_xlfn.CONCAT(B1,"/",B15)</f>
        <v>https://w3id.org/mobilitydcat-ap/mobility-theme/2.0.0</v>
      </c>
    </row>
    <row r="17" spans="1:9" x14ac:dyDescent="0.25">
      <c r="A17" s="4" t="s">
        <v>16</v>
      </c>
      <c r="B17" t="s">
        <v>17</v>
      </c>
    </row>
    <row r="18" spans="1:9" x14ac:dyDescent="0.25">
      <c r="A18" s="4" t="s">
        <v>18</v>
      </c>
      <c r="B18" s="6" t="s">
        <v>19</v>
      </c>
      <c r="C18" s="6"/>
    </row>
    <row r="19" spans="1:9" x14ac:dyDescent="0.25">
      <c r="A19" s="4" t="s">
        <v>20</v>
      </c>
      <c r="B19" t="s">
        <v>259</v>
      </c>
    </row>
    <row r="23" spans="1:9" x14ac:dyDescent="0.25">
      <c r="A23" s="2" t="s">
        <v>21</v>
      </c>
      <c r="B23" s="2" t="s">
        <v>22</v>
      </c>
      <c r="C23" s="2" t="s">
        <v>23</v>
      </c>
      <c r="D23" s="3" t="s">
        <v>24</v>
      </c>
      <c r="E23" s="3" t="s">
        <v>25</v>
      </c>
      <c r="F23" s="2" t="s">
        <v>26</v>
      </c>
      <c r="G23" s="2" t="s">
        <v>27</v>
      </c>
      <c r="H23" s="3" t="s">
        <v>257</v>
      </c>
      <c r="I23" s="3" t="s">
        <v>28</v>
      </c>
    </row>
    <row r="24" spans="1:9" x14ac:dyDescent="0.25">
      <c r="A24" s="10" t="str">
        <f t="shared" ref="A24:A65" si="0">_xlfn.CONCAT($B$1,"/",SUBSTITUTE(SUBSTITUTE(LOWER(SUBSTITUTE(B24,"/","-"))," ","-"),",",""))</f>
        <v>https://w3id.org/mobilitydcat-ap/mobility-theme/data-content-category</v>
      </c>
      <c r="B24" s="12" t="s">
        <v>29</v>
      </c>
      <c r="C24" s="8"/>
      <c r="D24" s="29"/>
      <c r="E24" s="26"/>
      <c r="F24" s="11"/>
      <c r="I24" s="1"/>
    </row>
    <row r="25" spans="1:9" x14ac:dyDescent="0.25">
      <c r="A25" s="10" t="str">
        <f t="shared" si="0"/>
        <v>https://w3id.org/mobilitydcat-ap/mobility-theme/data-content-sub-category</v>
      </c>
      <c r="B25" s="12" t="s">
        <v>30</v>
      </c>
      <c r="C25" s="8"/>
      <c r="D25" s="29"/>
      <c r="E25" s="26"/>
      <c r="F25" s="26" t="str">
        <f>A24</f>
        <v>https://w3id.org/mobilitydcat-ap/mobility-theme/data-content-category</v>
      </c>
      <c r="I25" s="1"/>
    </row>
    <row r="26" spans="1:9" ht="120" x14ac:dyDescent="0.25">
      <c r="A26" s="10" t="str">
        <f t="shared" si="0"/>
        <v>https://w3id.org/mobilitydcat-ap/mobility-theme/static-road-network-data</v>
      </c>
      <c r="B26" s="9" t="s">
        <v>31</v>
      </c>
      <c r="C26" s="8"/>
      <c r="E26" s="25" t="str">
        <f>_xlfn.TEXTJOIN(", ",,A27:A36)</f>
        <v>https://w3id.org/mobilitydcat-ap/mobility-theme/geometry, https://w3id.org/mobilitydcat-ap/mobility-theme/road-network-geometry, https://w3id.org/mobilitydcat-ap/mobility-theme/road-width, https://w3id.org/mobilitydcat-ap/mobility-theme/number-of-lanes, https://w3id.org/mobilitydcat-ap/mobility-theme/road-number-of-lanes, https://w3id.org/mobilitydcat-ap/mobility-theme/gradients, https://w3id.org/mobilitydcat-ap/mobility-theme/road-gradients, https://w3id.org/mobilitydcat-ap/mobility-theme/junctions, https://w3id.org/mobilitydcat-ap/mobility-theme/road-junctions, https://w3id.org/mobilitydcat-ap/mobility-theme/road-classification</v>
      </c>
      <c r="F26" s="1" t="str">
        <f>A24</f>
        <v>https://w3id.org/mobilitydcat-ap/mobility-theme/data-content-category</v>
      </c>
      <c r="I26" t="s">
        <v>32</v>
      </c>
    </row>
    <row r="27" spans="1:9" s="18" customFormat="1" x14ac:dyDescent="0.25">
      <c r="A27" s="15" t="str">
        <f t="shared" si="0"/>
        <v>https://w3id.org/mobilitydcat-ap/mobility-theme/geometry</v>
      </c>
      <c r="B27" s="19" t="s">
        <v>33</v>
      </c>
      <c r="C27" s="19"/>
      <c r="D27" s="17"/>
      <c r="E27" s="17"/>
      <c r="F27" s="17" t="str">
        <f>A25</f>
        <v>https://w3id.org/mobilitydcat-ap/mobility-theme/data-content-sub-category</v>
      </c>
      <c r="G27" s="18" t="b">
        <v>1</v>
      </c>
      <c r="H27" s="18" t="str">
        <f>A28</f>
        <v>https://w3id.org/mobilitydcat-ap/mobility-theme/road-network-geometry</v>
      </c>
      <c r="I27" s="17" t="s">
        <v>32</v>
      </c>
    </row>
    <row r="28" spans="1:9" s="23" customFormat="1" x14ac:dyDescent="0.25">
      <c r="A28" s="20" t="str">
        <f t="shared" si="0"/>
        <v>https://w3id.org/mobilitydcat-ap/mobility-theme/road-network-geometry</v>
      </c>
      <c r="B28" s="21" t="s">
        <v>34</v>
      </c>
      <c r="C28" s="21"/>
      <c r="D28" s="22"/>
      <c r="E28" s="22"/>
      <c r="F28" s="22" t="str">
        <f>A25</f>
        <v>https://w3id.org/mobilitydcat-ap/mobility-theme/data-content-sub-category</v>
      </c>
      <c r="H28" s="22"/>
      <c r="I28" s="22" t="s">
        <v>32</v>
      </c>
    </row>
    <row r="29" spans="1:9" x14ac:dyDescent="0.25">
      <c r="A29" s="10" t="str">
        <f t="shared" si="0"/>
        <v>https://w3id.org/mobilitydcat-ap/mobility-theme/road-width</v>
      </c>
      <c r="B29" s="7" t="s">
        <v>35</v>
      </c>
      <c r="C29" s="7"/>
      <c r="F29" s="1" t="str">
        <f>A25</f>
        <v>https://w3id.org/mobilitydcat-ap/mobility-theme/data-content-sub-category</v>
      </c>
      <c r="I29" s="1" t="s">
        <v>32</v>
      </c>
    </row>
    <row r="30" spans="1:9" s="18" customFormat="1" x14ac:dyDescent="0.25">
      <c r="A30" s="15" t="str">
        <f t="shared" si="0"/>
        <v>https://w3id.org/mobilitydcat-ap/mobility-theme/number-of-lanes</v>
      </c>
      <c r="B30" s="19" t="s">
        <v>36</v>
      </c>
      <c r="C30" s="19"/>
      <c r="D30" s="17"/>
      <c r="E30" s="17"/>
      <c r="F30" s="17" t="str">
        <f>A25</f>
        <v>https://w3id.org/mobilitydcat-ap/mobility-theme/data-content-sub-category</v>
      </c>
      <c r="G30" s="18" t="b">
        <v>1</v>
      </c>
      <c r="H30" s="18" t="str">
        <f>A31</f>
        <v>https://w3id.org/mobilitydcat-ap/mobility-theme/road-number-of-lanes</v>
      </c>
      <c r="I30" s="17" t="s">
        <v>32</v>
      </c>
    </row>
    <row r="31" spans="1:9" s="23" customFormat="1" x14ac:dyDescent="0.25">
      <c r="A31" s="20" t="str">
        <f t="shared" si="0"/>
        <v>https://w3id.org/mobilitydcat-ap/mobility-theme/road-number-of-lanes</v>
      </c>
      <c r="B31" s="21" t="s">
        <v>37</v>
      </c>
      <c r="C31" s="21"/>
      <c r="D31" s="22"/>
      <c r="E31" s="22"/>
      <c r="F31" s="22" t="str">
        <f>A25</f>
        <v>https://w3id.org/mobilitydcat-ap/mobility-theme/data-content-sub-category</v>
      </c>
      <c r="H31" s="22"/>
      <c r="I31" s="22" t="s">
        <v>32</v>
      </c>
    </row>
    <row r="32" spans="1:9" s="18" customFormat="1" x14ac:dyDescent="0.25">
      <c r="A32" s="15" t="str">
        <f t="shared" si="0"/>
        <v>https://w3id.org/mobilitydcat-ap/mobility-theme/gradients</v>
      </c>
      <c r="B32" s="19" t="s">
        <v>38</v>
      </c>
      <c r="C32" s="19"/>
      <c r="D32" s="17"/>
      <c r="E32" s="17"/>
      <c r="F32" s="17" t="str">
        <f>A25</f>
        <v>https://w3id.org/mobilitydcat-ap/mobility-theme/data-content-sub-category</v>
      </c>
      <c r="G32" s="18" t="b">
        <v>1</v>
      </c>
      <c r="H32" s="18" t="str">
        <f>A33</f>
        <v>https://w3id.org/mobilitydcat-ap/mobility-theme/road-gradients</v>
      </c>
      <c r="I32" s="17" t="s">
        <v>32</v>
      </c>
    </row>
    <row r="33" spans="1:9" s="23" customFormat="1" x14ac:dyDescent="0.25">
      <c r="A33" s="20" t="str">
        <f t="shared" si="0"/>
        <v>https://w3id.org/mobilitydcat-ap/mobility-theme/road-gradients</v>
      </c>
      <c r="B33" s="21" t="s">
        <v>39</v>
      </c>
      <c r="C33" s="21"/>
      <c r="D33" s="22"/>
      <c r="E33" s="22"/>
      <c r="F33" s="22" t="str">
        <f>A25</f>
        <v>https://w3id.org/mobilitydcat-ap/mobility-theme/data-content-sub-category</v>
      </c>
      <c r="H33" s="22"/>
      <c r="I33" s="22" t="s">
        <v>32</v>
      </c>
    </row>
    <row r="34" spans="1:9" s="18" customFormat="1" x14ac:dyDescent="0.25">
      <c r="A34" s="15" t="str">
        <f t="shared" si="0"/>
        <v>https://w3id.org/mobilitydcat-ap/mobility-theme/junctions</v>
      </c>
      <c r="B34" s="19" t="s">
        <v>40</v>
      </c>
      <c r="C34" s="19"/>
      <c r="D34" s="17"/>
      <c r="E34" s="17"/>
      <c r="F34" s="17" t="str">
        <f>A25</f>
        <v>https://w3id.org/mobilitydcat-ap/mobility-theme/data-content-sub-category</v>
      </c>
      <c r="G34" s="18" t="b">
        <v>1</v>
      </c>
      <c r="H34" s="18" t="str">
        <f>A35</f>
        <v>https://w3id.org/mobilitydcat-ap/mobility-theme/road-junctions</v>
      </c>
      <c r="I34" s="17" t="s">
        <v>32</v>
      </c>
    </row>
    <row r="35" spans="1:9" s="23" customFormat="1" x14ac:dyDescent="0.25">
      <c r="A35" s="20" t="str">
        <f t="shared" si="0"/>
        <v>https://w3id.org/mobilitydcat-ap/mobility-theme/road-junctions</v>
      </c>
      <c r="B35" s="21" t="s">
        <v>41</v>
      </c>
      <c r="C35" s="21"/>
      <c r="D35" s="22"/>
      <c r="E35" s="22"/>
      <c r="F35" s="22" t="str">
        <f>A25</f>
        <v>https://w3id.org/mobilitydcat-ap/mobility-theme/data-content-sub-category</v>
      </c>
      <c r="H35" s="22"/>
      <c r="I35" s="22" t="s">
        <v>32</v>
      </c>
    </row>
    <row r="36" spans="1:9" x14ac:dyDescent="0.25">
      <c r="A36" s="10" t="str">
        <f t="shared" si="0"/>
        <v>https://w3id.org/mobilitydcat-ap/mobility-theme/road-classification</v>
      </c>
      <c r="B36" s="7" t="s">
        <v>42</v>
      </c>
      <c r="C36" s="7"/>
      <c r="F36" s="1" t="str">
        <f>A25</f>
        <v>https://w3id.org/mobilitydcat-ap/mobility-theme/data-content-sub-category</v>
      </c>
      <c r="I36" s="1" t="s">
        <v>32</v>
      </c>
    </row>
    <row r="37" spans="1:9" ht="90" x14ac:dyDescent="0.25">
      <c r="A37" s="10" t="str">
        <f t="shared" si="0"/>
        <v>https://w3id.org/mobilitydcat-ap/mobility-theme/cycle-network-data</v>
      </c>
      <c r="B37" s="9" t="s">
        <v>43</v>
      </c>
      <c r="C37" s="8"/>
      <c r="E37" s="25" t="str">
        <f>_xlfn.TEXTJOIN(", ",,A38:A43)</f>
        <v>https://w3id.org/mobilitydcat-ap/mobility-theme/network-geometry-and-lane-character, https://w3id.org/mobilitydcat-ap/mobility-theme/cycle-network-geometry, https://w3id.org/mobilitydcat-ap/mobility-theme/network-detailed-attributes, https://w3id.org/mobilitydcat-ap/mobility-theme/cycle-network-detailed-attributes, https://w3id.org/mobilitydcat-ap/mobility-theme/network-closures-diversions, https://w3id.org/mobilitydcat-ap/mobility-theme/cycle-network-closures-diversions</v>
      </c>
      <c r="F37" s="1" t="str">
        <f>A24</f>
        <v>https://w3id.org/mobilitydcat-ap/mobility-theme/data-content-category</v>
      </c>
      <c r="I37" s="1" t="s">
        <v>44</v>
      </c>
    </row>
    <row r="38" spans="1:9" s="18" customFormat="1" x14ac:dyDescent="0.25">
      <c r="A38" s="15" t="str">
        <f t="shared" si="0"/>
        <v>https://w3id.org/mobilitydcat-ap/mobility-theme/network-geometry-and-lane-character</v>
      </c>
      <c r="B38" s="16" t="s">
        <v>45</v>
      </c>
      <c r="C38" s="16"/>
      <c r="D38" s="17"/>
      <c r="E38" s="17"/>
      <c r="F38" s="17" t="str">
        <f>A25</f>
        <v>https://w3id.org/mobilitydcat-ap/mobility-theme/data-content-sub-category</v>
      </c>
      <c r="G38" s="18" t="b">
        <v>1</v>
      </c>
      <c r="H38" s="17" t="s">
        <v>46</v>
      </c>
      <c r="I38" s="17" t="s">
        <v>44</v>
      </c>
    </row>
    <row r="39" spans="1:9" s="23" customFormat="1" x14ac:dyDescent="0.25">
      <c r="A39" s="20" t="str">
        <f>_xlfn.CONCAT($B$1,"/",SUBSTITUTE(SUBSTITUTE(LOWER(SUBSTITUTE(B39,"/","-"))," ","-"),",",""))</f>
        <v>https://w3id.org/mobilitydcat-ap/mobility-theme/cycle-network-geometry</v>
      </c>
      <c r="B39" s="24" t="s">
        <v>47</v>
      </c>
      <c r="C39" s="24"/>
      <c r="D39" s="22" t="s">
        <v>48</v>
      </c>
      <c r="E39" s="22"/>
      <c r="F39" s="22" t="str">
        <f>A25</f>
        <v>https://w3id.org/mobilitydcat-ap/mobility-theme/data-content-sub-category</v>
      </c>
      <c r="H39" s="22"/>
      <c r="I39" s="22" t="s">
        <v>44</v>
      </c>
    </row>
    <row r="40" spans="1:9" s="18" customFormat="1" x14ac:dyDescent="0.25">
      <c r="A40" s="15" t="str">
        <f t="shared" ref="A40" si="1">_xlfn.CONCAT($B$1,"/",SUBSTITUTE(SUBSTITUTE(LOWER(SUBSTITUTE(B40,"/","-"))," ","-"),",",""))</f>
        <v>https://w3id.org/mobilitydcat-ap/mobility-theme/network-detailed-attributes</v>
      </c>
      <c r="B40" s="16" t="s">
        <v>49</v>
      </c>
      <c r="C40" s="16"/>
      <c r="D40" s="17"/>
      <c r="E40" s="17"/>
      <c r="F40" s="17" t="str">
        <f>A25</f>
        <v>https://w3id.org/mobilitydcat-ap/mobility-theme/data-content-sub-category</v>
      </c>
      <c r="G40" s="18" t="b">
        <v>1</v>
      </c>
      <c r="H40" s="17" t="s">
        <v>50</v>
      </c>
      <c r="I40" s="18" t="s">
        <v>44</v>
      </c>
    </row>
    <row r="41" spans="1:9" s="23" customFormat="1" x14ac:dyDescent="0.25">
      <c r="A41" s="20" t="str">
        <f t="shared" si="0"/>
        <v>https://w3id.org/mobilitydcat-ap/mobility-theme/cycle-network-detailed-attributes</v>
      </c>
      <c r="B41" s="24" t="s">
        <v>51</v>
      </c>
      <c r="C41" s="24"/>
      <c r="D41" s="22"/>
      <c r="E41" s="22"/>
      <c r="F41" s="22" t="str">
        <f>A25</f>
        <v>https://w3id.org/mobilitydcat-ap/mobility-theme/data-content-sub-category</v>
      </c>
      <c r="H41" s="22"/>
      <c r="I41" s="22" t="s">
        <v>44</v>
      </c>
    </row>
    <row r="42" spans="1:9" s="18" customFormat="1" x14ac:dyDescent="0.25">
      <c r="A42" s="15" t="str">
        <f>_xlfn.CONCAT($B$1,"/",SUBSTITUTE(SUBSTITUTE(LOWER(SUBSTITUTE(B42,"/","-"))," ","-"),",",""))</f>
        <v>https://w3id.org/mobilitydcat-ap/mobility-theme/network-closures-diversions</v>
      </c>
      <c r="B42" s="16" t="s">
        <v>52</v>
      </c>
      <c r="C42" s="16"/>
      <c r="D42" s="17"/>
      <c r="E42" s="17"/>
      <c r="F42" s="17" t="str">
        <f>A25</f>
        <v>https://w3id.org/mobilitydcat-ap/mobility-theme/data-content-sub-category</v>
      </c>
      <c r="G42" s="18" t="b">
        <v>1</v>
      </c>
      <c r="H42" s="17" t="s">
        <v>53</v>
      </c>
      <c r="I42" s="17" t="s">
        <v>44</v>
      </c>
    </row>
    <row r="43" spans="1:9" s="23" customFormat="1" x14ac:dyDescent="0.25">
      <c r="A43" s="20" t="str">
        <f>_xlfn.CONCAT($B$1,"/",SUBSTITUTE(SUBSTITUTE(LOWER(SUBSTITUTE(B43,"/","-"))," ","-"),",",""))</f>
        <v>https://w3id.org/mobilitydcat-ap/mobility-theme/cycle-network-closures-diversions</v>
      </c>
      <c r="B43" s="24" t="s">
        <v>54</v>
      </c>
      <c r="C43" s="24"/>
      <c r="D43" s="22"/>
      <c r="E43" s="22"/>
      <c r="F43" s="22" t="str">
        <f>A25</f>
        <v>https://w3id.org/mobilitydcat-ap/mobility-theme/data-content-sub-category</v>
      </c>
      <c r="H43" s="22"/>
      <c r="I43" s="22" t="s">
        <v>44</v>
      </c>
    </row>
    <row r="44" spans="1:9" ht="30" x14ac:dyDescent="0.25">
      <c r="A44" s="10" t="str">
        <f t="shared" si="0"/>
        <v>https://w3id.org/mobilitydcat-ap/mobility-theme/pedestrian-network-data</v>
      </c>
      <c r="B44" s="9" t="s">
        <v>55</v>
      </c>
      <c r="C44" s="8"/>
      <c r="E44" s="1" t="str">
        <f>CONCATENATE(A45,", ",A46)</f>
        <v>https://w3id.org/mobilitydcat-ap/mobility-theme/pedestrian-network-geometry, https://w3id.org/mobilitydcat-ap/mobility-theme/pedestrian-accessibility-facilities</v>
      </c>
      <c r="F44" s="1" t="str">
        <f>A24</f>
        <v>https://w3id.org/mobilitydcat-ap/mobility-theme/data-content-category</v>
      </c>
      <c r="I44" s="1" t="s">
        <v>44</v>
      </c>
    </row>
    <row r="45" spans="1:9" x14ac:dyDescent="0.25">
      <c r="A45" s="10" t="str">
        <f t="shared" si="0"/>
        <v>https://w3id.org/mobilitydcat-ap/mobility-theme/pedestrian-network-geometry</v>
      </c>
      <c r="B45" s="13" t="s">
        <v>56</v>
      </c>
      <c r="C45" s="8"/>
      <c r="F45" s="1" t="str">
        <f>A25</f>
        <v>https://w3id.org/mobilitydcat-ap/mobility-theme/data-content-sub-category</v>
      </c>
      <c r="I45" s="1" t="s">
        <v>44</v>
      </c>
    </row>
    <row r="46" spans="1:9" x14ac:dyDescent="0.25">
      <c r="A46" s="10" t="str">
        <f t="shared" si="0"/>
        <v>https://w3id.org/mobilitydcat-ap/mobility-theme/pedestrian-accessibility-facilities</v>
      </c>
      <c r="B46" s="13" t="s">
        <v>57</v>
      </c>
      <c r="C46" s="8"/>
      <c r="F46" s="1" t="str">
        <f>A25</f>
        <v>https://w3id.org/mobilitydcat-ap/mobility-theme/data-content-sub-category</v>
      </c>
      <c r="I46" s="1" t="s">
        <v>44</v>
      </c>
    </row>
    <row r="47" spans="1:9" ht="156.75" customHeight="1" x14ac:dyDescent="0.25">
      <c r="A47" s="10" t="str">
        <f t="shared" si="0"/>
        <v>https://w3id.org/mobilitydcat-ap/mobility-theme/static-traffic-signs-and-regulations</v>
      </c>
      <c r="B47" s="9" t="s">
        <v>58</v>
      </c>
      <c r="C47" s="8"/>
      <c r="E47" s="25" t="str">
        <f>_xlfn.TEXTJOIN(", ",,A48:A58)</f>
        <v>https://w3id.org/mobilitydcat-ap/mobility-theme/tunnel-access-conditions, https://w3id.org/mobilitydcat-ap/mobility-theme/bridge-access-conditions, https://w3id.org/mobilitydcat-ap/mobility-theme/speed-limits, https://w3id.org/mobilitydcat-ap/mobility-theme/other-static-traffic-signs, https://w3id.org/mobilitydcat-ap/mobility-theme/permanent-access-restrictions, https://w3id.org/mobilitydcat-ap/mobility-theme/other-traffic-regulations, https://w3id.org/mobilitydcat-ap/mobility-theme/traffic-circulation-plans, https://w3id.org/mobilitydcat-ap/mobility-theme/static-overtaking-bans-on-heavy-goods-vehicles, https://w3id.org/mobilitydcat-ap/mobility-theme/weight-length-width-height-restrictions, https://w3id.org/mobilitydcat-ap/mobility-theme/one-way-streets, https://w3id.org/mobilitydcat-ap/mobility-theme/regulated-traffic-zones</v>
      </c>
      <c r="F47" s="1" t="str">
        <f>A24</f>
        <v>https://w3id.org/mobilitydcat-ap/mobility-theme/data-content-category</v>
      </c>
      <c r="I47" s="1" t="s">
        <v>32</v>
      </c>
    </row>
    <row r="48" spans="1:9" x14ac:dyDescent="0.25">
      <c r="A48" s="10" t="str">
        <f t="shared" si="0"/>
        <v>https://w3id.org/mobilitydcat-ap/mobility-theme/tunnel-access-conditions</v>
      </c>
      <c r="B48" s="8" t="s">
        <v>59</v>
      </c>
      <c r="C48" s="8"/>
      <c r="F48" s="1" t="str">
        <f>A25</f>
        <v>https://w3id.org/mobilitydcat-ap/mobility-theme/data-content-sub-category</v>
      </c>
      <c r="I48" s="1" t="s">
        <v>32</v>
      </c>
    </row>
    <row r="49" spans="1:9" x14ac:dyDescent="0.25">
      <c r="A49" s="10" t="str">
        <f t="shared" si="0"/>
        <v>https://w3id.org/mobilitydcat-ap/mobility-theme/bridge-access-conditions</v>
      </c>
      <c r="B49" s="8" t="s">
        <v>60</v>
      </c>
      <c r="C49" s="8"/>
      <c r="F49" s="1" t="str">
        <f>A25</f>
        <v>https://w3id.org/mobilitydcat-ap/mobility-theme/data-content-sub-category</v>
      </c>
      <c r="I49" s="1" t="s">
        <v>32</v>
      </c>
    </row>
    <row r="50" spans="1:9" x14ac:dyDescent="0.25">
      <c r="A50" s="10" t="str">
        <f t="shared" si="0"/>
        <v>https://w3id.org/mobilitydcat-ap/mobility-theme/speed-limits</v>
      </c>
      <c r="B50" s="8" t="s">
        <v>61</v>
      </c>
      <c r="C50" s="8"/>
      <c r="F50" s="1" t="str">
        <f>A25</f>
        <v>https://w3id.org/mobilitydcat-ap/mobility-theme/data-content-sub-category</v>
      </c>
      <c r="I50" s="1" t="s">
        <v>32</v>
      </c>
    </row>
    <row r="51" spans="1:9" x14ac:dyDescent="0.25">
      <c r="A51" s="10" t="str">
        <f t="shared" si="0"/>
        <v>https://w3id.org/mobilitydcat-ap/mobility-theme/other-static-traffic-signs</v>
      </c>
      <c r="B51" s="8" t="s">
        <v>62</v>
      </c>
      <c r="C51" s="8"/>
      <c r="F51" s="1" t="str">
        <f>A25</f>
        <v>https://w3id.org/mobilitydcat-ap/mobility-theme/data-content-sub-category</v>
      </c>
      <c r="I51" s="25" t="s">
        <v>32</v>
      </c>
    </row>
    <row r="52" spans="1:9" x14ac:dyDescent="0.25">
      <c r="A52" s="10" t="str">
        <f t="shared" si="0"/>
        <v>https://w3id.org/mobilitydcat-ap/mobility-theme/permanent-access-restrictions</v>
      </c>
      <c r="B52" s="8" t="s">
        <v>63</v>
      </c>
      <c r="C52" s="8"/>
      <c r="F52" s="1" t="str">
        <f>A25</f>
        <v>https://w3id.org/mobilitydcat-ap/mobility-theme/data-content-sub-category</v>
      </c>
      <c r="I52" s="1" t="s">
        <v>32</v>
      </c>
    </row>
    <row r="53" spans="1:9" x14ac:dyDescent="0.25">
      <c r="A53" s="10" t="str">
        <f t="shared" si="0"/>
        <v>https://w3id.org/mobilitydcat-ap/mobility-theme/other-traffic-regulations</v>
      </c>
      <c r="B53" s="8" t="s">
        <v>64</v>
      </c>
      <c r="C53" s="8"/>
      <c r="F53" s="1" t="str">
        <f>A25</f>
        <v>https://w3id.org/mobilitydcat-ap/mobility-theme/data-content-sub-category</v>
      </c>
      <c r="I53" s="1" t="s">
        <v>32</v>
      </c>
    </row>
    <row r="54" spans="1:9" x14ac:dyDescent="0.25">
      <c r="A54" s="10" t="str">
        <f t="shared" si="0"/>
        <v>https://w3id.org/mobilitydcat-ap/mobility-theme/traffic-circulation-plans</v>
      </c>
      <c r="B54" s="8" t="s">
        <v>65</v>
      </c>
      <c r="C54" s="8"/>
      <c r="F54" s="1" t="str">
        <f>A25</f>
        <v>https://w3id.org/mobilitydcat-ap/mobility-theme/data-content-sub-category</v>
      </c>
      <c r="I54" s="1" t="s">
        <v>32</v>
      </c>
    </row>
    <row r="55" spans="1:9" s="23" customFormat="1" x14ac:dyDescent="0.25">
      <c r="A55" s="20" t="str">
        <f t="shared" si="0"/>
        <v>https://w3id.org/mobilitydcat-ap/mobility-theme/static-overtaking-bans-on-heavy-goods-vehicles</v>
      </c>
      <c r="B55" s="24" t="s">
        <v>66</v>
      </c>
      <c r="C55" s="8"/>
      <c r="D55" s="22"/>
      <c r="E55" s="22"/>
      <c r="F55" s="22" t="str">
        <f>A25</f>
        <v>https://w3id.org/mobilitydcat-ap/mobility-theme/data-content-sub-category</v>
      </c>
      <c r="H55" s="22"/>
      <c r="I55" s="22" t="s">
        <v>32</v>
      </c>
    </row>
    <row r="56" spans="1:9" s="23" customFormat="1" x14ac:dyDescent="0.25">
      <c r="A56" s="20" t="str">
        <f t="shared" si="0"/>
        <v>https://w3id.org/mobilitydcat-ap/mobility-theme/weight-length-width-height-restrictions</v>
      </c>
      <c r="B56" s="24" t="s">
        <v>67</v>
      </c>
      <c r="C56" s="8"/>
      <c r="D56" s="22"/>
      <c r="E56" s="22"/>
      <c r="F56" s="22" t="str">
        <f>A25</f>
        <v>https://w3id.org/mobilitydcat-ap/mobility-theme/data-content-sub-category</v>
      </c>
      <c r="H56" s="22"/>
      <c r="I56" s="22" t="s">
        <v>32</v>
      </c>
    </row>
    <row r="57" spans="1:9" s="23" customFormat="1" x14ac:dyDescent="0.25">
      <c r="A57" s="20" t="str">
        <f t="shared" si="0"/>
        <v>https://w3id.org/mobilitydcat-ap/mobility-theme/one-way-streets</v>
      </c>
      <c r="B57" s="24" t="s">
        <v>68</v>
      </c>
      <c r="C57" s="8"/>
      <c r="D57" s="22"/>
      <c r="E57" s="22"/>
      <c r="F57" s="22" t="str">
        <f>A25</f>
        <v>https://w3id.org/mobilitydcat-ap/mobility-theme/data-content-sub-category</v>
      </c>
      <c r="H57" s="22"/>
      <c r="I57" s="22" t="s">
        <v>32</v>
      </c>
    </row>
    <row r="58" spans="1:9" s="23" customFormat="1" ht="45" x14ac:dyDescent="0.25">
      <c r="A58" s="20" t="str">
        <f t="shared" si="0"/>
        <v>https://w3id.org/mobilitydcat-ap/mobility-theme/regulated-traffic-zones</v>
      </c>
      <c r="B58" s="24" t="s">
        <v>69</v>
      </c>
      <c r="C58" s="8"/>
      <c r="D58" s="22" t="s">
        <v>70</v>
      </c>
      <c r="E58" s="22"/>
      <c r="F58" s="22" t="str">
        <f>A25</f>
        <v>https://w3id.org/mobilitydcat-ap/mobility-theme/data-content-sub-category</v>
      </c>
      <c r="H58" s="22"/>
      <c r="I58" s="22" t="s">
        <v>32</v>
      </c>
    </row>
    <row r="59" spans="1:9" ht="90" x14ac:dyDescent="0.25">
      <c r="A59" s="10" t="str">
        <f t="shared" si="0"/>
        <v>https://w3id.org/mobilitydcat-ap/mobility-theme/toll-information</v>
      </c>
      <c r="B59" s="9" t="s">
        <v>71</v>
      </c>
      <c r="C59" s="8"/>
      <c r="E59" s="25" t="str">
        <f>_xlfn.TEXTJOIN(", ",,A60:A65)</f>
        <v>https://w3id.org/mobilitydcat-ap/mobility-theme/location-of-tolling-stations, https://w3id.org/mobilitydcat-ap/mobility-theme/identification-of-tolled-roads, https://w3id.org/mobilitydcat-ap/mobility-theme/applicable-road-user-charges-and-payment-methods, https://w3id.org/mobilitydcat-ap/mobility-theme/fixed-road-user-charges-and-payment-methods, https://w3id.org/mobilitydcat-ap/mobility-theme/variable-road-user-charges-and-payment-methods, https://w3id.org/mobilitydcat-ap/mobility-theme/payment-methods-for-tolls</v>
      </c>
      <c r="F59" s="1" t="str">
        <f>A24</f>
        <v>https://w3id.org/mobilitydcat-ap/mobility-theme/data-content-category</v>
      </c>
      <c r="I59" s="1" t="s">
        <v>32</v>
      </c>
    </row>
    <row r="60" spans="1:9" x14ac:dyDescent="0.25">
      <c r="A60" s="10" t="str">
        <f t="shared" si="0"/>
        <v>https://w3id.org/mobilitydcat-ap/mobility-theme/location-of-tolling-stations</v>
      </c>
      <c r="B60" s="8" t="s">
        <v>72</v>
      </c>
      <c r="C60" s="8"/>
      <c r="F60" s="1" t="str">
        <f>A25</f>
        <v>https://w3id.org/mobilitydcat-ap/mobility-theme/data-content-sub-category</v>
      </c>
      <c r="I60" s="1" t="s">
        <v>32</v>
      </c>
    </row>
    <row r="61" spans="1:9" x14ac:dyDescent="0.25">
      <c r="A61" s="10" t="str">
        <f t="shared" si="0"/>
        <v>https://w3id.org/mobilitydcat-ap/mobility-theme/identification-of-tolled-roads</v>
      </c>
      <c r="B61" s="8" t="s">
        <v>73</v>
      </c>
      <c r="C61" s="8"/>
      <c r="F61" s="1" t="str">
        <f>A25</f>
        <v>https://w3id.org/mobilitydcat-ap/mobility-theme/data-content-sub-category</v>
      </c>
      <c r="I61" s="1" t="s">
        <v>32</v>
      </c>
    </row>
    <row r="62" spans="1:9" s="18" customFormat="1" ht="42" customHeight="1" x14ac:dyDescent="0.25">
      <c r="A62" s="15" t="str">
        <f t="shared" si="0"/>
        <v>https://w3id.org/mobilitydcat-ap/mobility-theme/applicable-road-user-charges-and-payment-methods</v>
      </c>
      <c r="B62" s="16" t="s">
        <v>74</v>
      </c>
      <c r="C62" s="16"/>
      <c r="D62" s="17"/>
      <c r="E62" s="17"/>
      <c r="F62" s="17" t="str">
        <f>A25</f>
        <v>https://w3id.org/mobilitydcat-ap/mobility-theme/data-content-sub-category</v>
      </c>
      <c r="G62" s="18" t="b">
        <v>1</v>
      </c>
      <c r="H62" s="17" t="str">
        <f>A63</f>
        <v>https://w3id.org/mobilitydcat-ap/mobility-theme/fixed-road-user-charges-and-payment-methods</v>
      </c>
      <c r="I62" s="18" t="s">
        <v>32</v>
      </c>
    </row>
    <row r="63" spans="1:9" s="23" customFormat="1" x14ac:dyDescent="0.25">
      <c r="A63" s="20" t="str">
        <f>_xlfn.CONCAT($B$1,"/",SUBSTITUTE(SUBSTITUTE(LOWER(SUBSTITUTE(B63,"/","-"))," ","-"),",",""))</f>
        <v>https://w3id.org/mobilitydcat-ap/mobility-theme/fixed-road-user-charges-and-payment-methods</v>
      </c>
      <c r="B63" s="24" t="s">
        <v>75</v>
      </c>
      <c r="C63" s="24"/>
      <c r="D63" s="22"/>
      <c r="E63" s="22"/>
      <c r="F63" s="22" t="str">
        <f>A25</f>
        <v>https://w3id.org/mobilitydcat-ap/mobility-theme/data-content-sub-category</v>
      </c>
      <c r="H63" s="22"/>
      <c r="I63" s="23" t="s">
        <v>32</v>
      </c>
    </row>
    <row r="64" spans="1:9" s="23" customFormat="1" x14ac:dyDescent="0.25">
      <c r="A64" s="20" t="str">
        <f>_xlfn.CONCAT($B$1,"/",SUBSTITUTE(SUBSTITUTE(LOWER(SUBSTITUTE(B64,"/","-"))," ","-"),",",""))</f>
        <v>https://w3id.org/mobilitydcat-ap/mobility-theme/variable-road-user-charges-and-payment-methods</v>
      </c>
      <c r="B64" s="24" t="s">
        <v>76</v>
      </c>
      <c r="C64" s="24"/>
      <c r="D64" s="22"/>
      <c r="E64" s="22"/>
      <c r="F64" s="22" t="str">
        <f>A25</f>
        <v>https://w3id.org/mobilitydcat-ap/mobility-theme/data-content-sub-category</v>
      </c>
      <c r="H64" s="22"/>
      <c r="I64" s="23" t="s">
        <v>32</v>
      </c>
    </row>
    <row r="65" spans="1:9" s="18" customFormat="1" ht="54.75" customHeight="1" x14ac:dyDescent="0.25">
      <c r="A65" s="15" t="str">
        <f t="shared" si="0"/>
        <v>https://w3id.org/mobilitydcat-ap/mobility-theme/payment-methods-for-tolls</v>
      </c>
      <c r="B65" s="16" t="s">
        <v>77</v>
      </c>
      <c r="C65" s="16"/>
      <c r="D65" s="17"/>
      <c r="E65" s="17"/>
      <c r="F65" s="17" t="str">
        <f>A25</f>
        <v>https://w3id.org/mobilitydcat-ap/mobility-theme/data-content-sub-category</v>
      </c>
      <c r="G65" s="18" t="b">
        <v>1</v>
      </c>
      <c r="H65" s="17" t="str">
        <f>_xlfn.CONCAT(A63,",",A64)</f>
        <v>https://w3id.org/mobilitydcat-ap/mobility-theme/fixed-road-user-charges-and-payment-methods,https://w3id.org/mobilitydcat-ap/mobility-theme/variable-road-user-charges-and-payment-methods</v>
      </c>
      <c r="I65" s="17" t="s">
        <v>32</v>
      </c>
    </row>
    <row r="66" spans="1:9" ht="144" customHeight="1" x14ac:dyDescent="0.25">
      <c r="A66" s="10" t="str">
        <f>_xlfn.CONCAT($B$1,"/",SUBSTITUTE(SUBSTITUTE(LOWER(SUBSTITUTE(B66,"/","-"))," ","-"),",",""))</f>
        <v>https://w3id.org/mobilitydcat-ap/mobility-theme/parking-service-and-rest-area-information</v>
      </c>
      <c r="B66" s="9" t="s">
        <v>78</v>
      </c>
      <c r="C66" s="8"/>
      <c r="E66" s="25" t="str">
        <f>_xlfn.TEXTJOIN(", ",,A67:A83)</f>
        <v>https://w3id.org/mobilitydcat-ap/mobility-theme/car-parking-locations-and-conditions, https://w3id.org/mobilitydcat-ap/mobility-theme/car-parking-availability, https://w3id.org/mobilitydcat-ap/mobility-theme/parking-locations-description-and-facilities, https://w3id.org/mobilitydcat-ap/mobility-theme/parking-zones, https://w3id.org/mobilitydcat-ap/mobility-theme/parking-real-time-availability, https://w3id.org/mobilitydcat-ap/mobility-theme/parking-conditions-and-tariffs, https://w3id.org/mobilitydcat-ap/mobility-theme/parking-payment-points-and-methods, https://w3id.org/mobilitydcat-ap/mobility-theme/service-and-rest-area-locations-and-conditions, https://w3id.org/mobilitydcat-ap/mobility-theme/service-and-rest-area-locations-description-and-facilities, https://w3id.org/mobilitydcat-ap/mobility-theme/service-and-rest-area-availability, https://w3id.org/mobilitydcat-ap/mobility-theme/service-and-rest-area-real-time-availability, https://w3id.org/mobilitydcat-ap/mobility-theme/truck-parking-locations-and-conditions, https://w3id.org/mobilitydcat-ap/mobility-theme/truck-parking-availability, https://w3id.org/mobilitydcat-ap/mobility-theme/park-and-ride-stops, https://w3id.org/mobilitydcat-ap/mobility-theme/park-and-drive-stops, https://w3id.org/mobilitydcat-ap/mobility-theme/kiss-and-ride-stops, https://w3id.org/mobilitydcat-ap/mobility-theme/bike-parking-locations</v>
      </c>
      <c r="F66" s="1" t="str">
        <f>A24</f>
        <v>https://w3id.org/mobilitydcat-ap/mobility-theme/data-content-category</v>
      </c>
      <c r="I66" s="1" t="s">
        <v>79</v>
      </c>
    </row>
    <row r="67" spans="1:9" s="18" customFormat="1" x14ac:dyDescent="0.25">
      <c r="A67" s="15" t="str">
        <f t="shared" ref="A67:A154" si="2">_xlfn.CONCAT($B$1,"/",SUBSTITUTE(SUBSTITUTE(LOWER(SUBSTITUTE(B67,"/","-"))," ","-"),",",""))</f>
        <v>https://w3id.org/mobilitydcat-ap/mobility-theme/car-parking-locations-and-conditions</v>
      </c>
      <c r="B67" s="16" t="s">
        <v>80</v>
      </c>
      <c r="C67" s="16"/>
      <c r="D67" s="17"/>
      <c r="E67" s="17"/>
      <c r="F67" s="17" t="str">
        <f>A25</f>
        <v>https://w3id.org/mobilitydcat-ap/mobility-theme/data-content-sub-category</v>
      </c>
      <c r="G67" s="18" t="b">
        <v>1</v>
      </c>
      <c r="H67" s="17" t="str">
        <f>A69</f>
        <v>https://w3id.org/mobilitydcat-ap/mobility-theme/parking-locations-description-and-facilities</v>
      </c>
      <c r="I67" s="17" t="s">
        <v>44</v>
      </c>
    </row>
    <row r="68" spans="1:9" s="18" customFormat="1" x14ac:dyDescent="0.25">
      <c r="A68" s="15" t="str">
        <f t="shared" si="2"/>
        <v>https://w3id.org/mobilitydcat-ap/mobility-theme/car-parking-availability</v>
      </c>
      <c r="B68" s="16" t="s">
        <v>81</v>
      </c>
      <c r="C68" s="16"/>
      <c r="D68" s="17"/>
      <c r="E68" s="17"/>
      <c r="F68" s="17" t="str">
        <f>A25</f>
        <v>https://w3id.org/mobilitydcat-ap/mobility-theme/data-content-sub-category</v>
      </c>
      <c r="G68" s="18" t="b">
        <v>1</v>
      </c>
      <c r="H68" s="17" t="str">
        <f>A71</f>
        <v>https://w3id.org/mobilitydcat-ap/mobility-theme/parking-real-time-availability</v>
      </c>
      <c r="I68" s="17" t="s">
        <v>44</v>
      </c>
    </row>
    <row r="69" spans="1:9" s="23" customFormat="1" x14ac:dyDescent="0.25">
      <c r="A69" s="20" t="str">
        <f t="shared" si="2"/>
        <v>https://w3id.org/mobilitydcat-ap/mobility-theme/parking-locations-description-and-facilities</v>
      </c>
      <c r="B69" s="24" t="s">
        <v>82</v>
      </c>
      <c r="C69" s="24"/>
      <c r="D69" s="22"/>
      <c r="E69" s="22"/>
      <c r="F69" s="22" t="str">
        <f>A25</f>
        <v>https://w3id.org/mobilitydcat-ap/mobility-theme/data-content-sub-category</v>
      </c>
      <c r="H69" s="22"/>
      <c r="I69" s="22" t="s">
        <v>44</v>
      </c>
    </row>
    <row r="70" spans="1:9" s="23" customFormat="1" x14ac:dyDescent="0.25">
      <c r="A70" s="20" t="str">
        <f t="shared" si="2"/>
        <v>https://w3id.org/mobilitydcat-ap/mobility-theme/parking-zones</v>
      </c>
      <c r="B70" s="24" t="s">
        <v>83</v>
      </c>
      <c r="C70" s="24"/>
      <c r="D70" s="22"/>
      <c r="E70" s="22"/>
      <c r="F70" s="22" t="str">
        <f>A25</f>
        <v>https://w3id.org/mobilitydcat-ap/mobility-theme/data-content-sub-category</v>
      </c>
      <c r="H70" s="22"/>
      <c r="I70" s="22" t="s">
        <v>44</v>
      </c>
    </row>
    <row r="71" spans="1:9" s="23" customFormat="1" x14ac:dyDescent="0.25">
      <c r="A71" s="20" t="str">
        <f t="shared" si="2"/>
        <v>https://w3id.org/mobilitydcat-ap/mobility-theme/parking-real-time-availability</v>
      </c>
      <c r="B71" s="24" t="s">
        <v>84</v>
      </c>
      <c r="C71" s="24"/>
      <c r="D71" s="22"/>
      <c r="E71" s="22"/>
      <c r="F71" s="22" t="str">
        <f>A25</f>
        <v>https://w3id.org/mobilitydcat-ap/mobility-theme/data-content-sub-category</v>
      </c>
      <c r="H71" s="22"/>
      <c r="I71" s="22" t="s">
        <v>44</v>
      </c>
    </row>
    <row r="72" spans="1:9" s="23" customFormat="1" x14ac:dyDescent="0.25">
      <c r="A72" s="20" t="str">
        <f t="shared" si="2"/>
        <v>https://w3id.org/mobilitydcat-ap/mobility-theme/parking-conditions-and-tariffs</v>
      </c>
      <c r="B72" s="24" t="s">
        <v>85</v>
      </c>
      <c r="C72" s="24"/>
      <c r="D72" s="22"/>
      <c r="E72" s="22"/>
      <c r="F72" s="22" t="str">
        <f>A25</f>
        <v>https://w3id.org/mobilitydcat-ap/mobility-theme/data-content-sub-category</v>
      </c>
      <c r="H72" s="22"/>
      <c r="I72" s="22" t="s">
        <v>44</v>
      </c>
    </row>
    <row r="73" spans="1:9" s="23" customFormat="1" ht="30" x14ac:dyDescent="0.25">
      <c r="A73" s="20" t="str">
        <f t="shared" si="2"/>
        <v>https://w3id.org/mobilitydcat-ap/mobility-theme/parking-payment-points-and-methods</v>
      </c>
      <c r="B73" s="24" t="s">
        <v>86</v>
      </c>
      <c r="C73" s="24"/>
      <c r="D73" s="22" t="s">
        <v>87</v>
      </c>
      <c r="E73" s="22"/>
      <c r="F73" s="22" t="str">
        <f>A25</f>
        <v>https://w3id.org/mobilitydcat-ap/mobility-theme/data-content-sub-category</v>
      </c>
      <c r="H73" s="22"/>
      <c r="I73" s="22" t="s">
        <v>44</v>
      </c>
    </row>
    <row r="74" spans="1:9" s="18" customFormat="1" ht="30" x14ac:dyDescent="0.25">
      <c r="A74" s="15" t="str">
        <f t="shared" si="2"/>
        <v>https://w3id.org/mobilitydcat-ap/mobility-theme/service-and-rest-area-locations-and-conditions</v>
      </c>
      <c r="B74" s="16" t="s">
        <v>88</v>
      </c>
      <c r="C74" s="16"/>
      <c r="D74" s="17"/>
      <c r="E74" s="17"/>
      <c r="F74" s="17" t="str">
        <f>A25</f>
        <v>https://w3id.org/mobilitydcat-ap/mobility-theme/data-content-sub-category</v>
      </c>
      <c r="G74" s="18" t="b">
        <v>1</v>
      </c>
      <c r="H74" s="17" t="str">
        <f>A75</f>
        <v>https://w3id.org/mobilitydcat-ap/mobility-theme/service-and-rest-area-locations-description-and-facilities</v>
      </c>
      <c r="I74" s="17" t="s">
        <v>32</v>
      </c>
    </row>
    <row r="75" spans="1:9" s="23" customFormat="1" x14ac:dyDescent="0.25">
      <c r="A75" s="20" t="str">
        <f t="shared" si="2"/>
        <v>https://w3id.org/mobilitydcat-ap/mobility-theme/service-and-rest-area-locations-description-and-facilities</v>
      </c>
      <c r="B75" s="24" t="s">
        <v>89</v>
      </c>
      <c r="C75" s="24"/>
      <c r="D75" s="22"/>
      <c r="E75" s="22"/>
      <c r="F75" s="22" t="str">
        <f>A25</f>
        <v>https://w3id.org/mobilitydcat-ap/mobility-theme/data-content-sub-category</v>
      </c>
      <c r="H75" s="22"/>
      <c r="I75" s="23" t="s">
        <v>32</v>
      </c>
    </row>
    <row r="76" spans="1:9" s="18" customFormat="1" x14ac:dyDescent="0.25">
      <c r="A76" s="15" t="str">
        <f t="shared" si="2"/>
        <v>https://w3id.org/mobilitydcat-ap/mobility-theme/service-and-rest-area-availability</v>
      </c>
      <c r="B76" s="16" t="s">
        <v>90</v>
      </c>
      <c r="C76" s="16"/>
      <c r="D76" s="17"/>
      <c r="E76" s="17"/>
      <c r="F76" s="17" t="str">
        <f>A25</f>
        <v>https://w3id.org/mobilitydcat-ap/mobility-theme/data-content-sub-category</v>
      </c>
      <c r="G76" s="18" t="b">
        <v>1</v>
      </c>
      <c r="H76" s="17" t="str">
        <f>A77</f>
        <v>https://w3id.org/mobilitydcat-ap/mobility-theme/service-and-rest-area-real-time-availability</v>
      </c>
      <c r="I76" s="18" t="s">
        <v>32</v>
      </c>
    </row>
    <row r="77" spans="1:9" s="23" customFormat="1" x14ac:dyDescent="0.25">
      <c r="A77" s="20" t="str">
        <f t="shared" si="2"/>
        <v>https://w3id.org/mobilitydcat-ap/mobility-theme/service-and-rest-area-real-time-availability</v>
      </c>
      <c r="B77" s="24" t="s">
        <v>91</v>
      </c>
      <c r="C77" s="24"/>
      <c r="D77" s="22"/>
      <c r="E77" s="22"/>
      <c r="F77" s="22" t="str">
        <f>A25</f>
        <v>https://w3id.org/mobilitydcat-ap/mobility-theme/data-content-sub-category</v>
      </c>
      <c r="H77" s="22"/>
      <c r="I77" s="23" t="s">
        <v>32</v>
      </c>
    </row>
    <row r="78" spans="1:9" s="18" customFormat="1" x14ac:dyDescent="0.25">
      <c r="A78" s="15" t="str">
        <f t="shared" si="2"/>
        <v>https://w3id.org/mobilitydcat-ap/mobility-theme/truck-parking-locations-and-conditions</v>
      </c>
      <c r="B78" s="16" t="s">
        <v>92</v>
      </c>
      <c r="C78" s="16"/>
      <c r="D78" s="17"/>
      <c r="E78" s="17"/>
      <c r="F78" s="17" t="str">
        <f>A25</f>
        <v>https://w3id.org/mobilitydcat-ap/mobility-theme/data-content-sub-category</v>
      </c>
      <c r="G78" s="18" t="b">
        <v>1</v>
      </c>
      <c r="H78" s="17" t="str">
        <f>A69</f>
        <v>https://w3id.org/mobilitydcat-ap/mobility-theme/parking-locations-description-and-facilities</v>
      </c>
      <c r="I78" s="17" t="s">
        <v>93</v>
      </c>
    </row>
    <row r="79" spans="1:9" s="18" customFormat="1" x14ac:dyDescent="0.25">
      <c r="A79" s="15" t="str">
        <f t="shared" si="2"/>
        <v>https://w3id.org/mobilitydcat-ap/mobility-theme/truck-parking-availability</v>
      </c>
      <c r="B79" s="16" t="s">
        <v>94</v>
      </c>
      <c r="C79" s="16"/>
      <c r="D79" s="17"/>
      <c r="E79" s="17"/>
      <c r="F79" s="17" t="str">
        <f>A25</f>
        <v>https://w3id.org/mobilitydcat-ap/mobility-theme/data-content-sub-category</v>
      </c>
      <c r="G79" s="18" t="b">
        <v>1</v>
      </c>
      <c r="H79" s="17" t="str">
        <f>A71</f>
        <v>https://w3id.org/mobilitydcat-ap/mobility-theme/parking-real-time-availability</v>
      </c>
      <c r="I79" s="17" t="s">
        <v>93</v>
      </c>
    </row>
    <row r="80" spans="1:9" x14ac:dyDescent="0.25">
      <c r="A80" s="10" t="str">
        <f t="shared" si="2"/>
        <v>https://w3id.org/mobilitydcat-ap/mobility-theme/park-and-ride-stops</v>
      </c>
      <c r="B80" s="8" t="s">
        <v>95</v>
      </c>
      <c r="C80" s="8"/>
      <c r="D80" s="1" t="s">
        <v>96</v>
      </c>
      <c r="F80" s="1" t="str">
        <f>A25</f>
        <v>https://w3id.org/mobilitydcat-ap/mobility-theme/data-content-sub-category</v>
      </c>
      <c r="I80" s="1" t="s">
        <v>44</v>
      </c>
    </row>
    <row r="81" spans="1:9" s="23" customFormat="1" x14ac:dyDescent="0.25">
      <c r="A81" s="20" t="str">
        <f t="shared" si="2"/>
        <v>https://w3id.org/mobilitydcat-ap/mobility-theme/park-and-drive-stops</v>
      </c>
      <c r="B81" s="24" t="s">
        <v>97</v>
      </c>
      <c r="C81" s="24"/>
      <c r="D81" s="22" t="s">
        <v>98</v>
      </c>
      <c r="E81" s="22"/>
      <c r="F81" s="22" t="str">
        <f>A25</f>
        <v>https://w3id.org/mobilitydcat-ap/mobility-theme/data-content-sub-category</v>
      </c>
      <c r="H81" s="22"/>
      <c r="I81" s="22" t="s">
        <v>44</v>
      </c>
    </row>
    <row r="82" spans="1:9" s="23" customFormat="1" x14ac:dyDescent="0.25">
      <c r="A82" s="20" t="str">
        <f t="shared" si="2"/>
        <v>https://w3id.org/mobilitydcat-ap/mobility-theme/kiss-and-ride-stops</v>
      </c>
      <c r="B82" s="24" t="s">
        <v>99</v>
      </c>
      <c r="C82" s="24"/>
      <c r="D82" s="22"/>
      <c r="E82" s="22"/>
      <c r="F82" s="22" t="str">
        <f>A25</f>
        <v>https://w3id.org/mobilitydcat-ap/mobility-theme/data-content-sub-category</v>
      </c>
      <c r="H82" s="22"/>
      <c r="I82" s="22" t="s">
        <v>44</v>
      </c>
    </row>
    <row r="83" spans="1:9" s="18" customFormat="1" x14ac:dyDescent="0.25">
      <c r="A83" s="15" t="str">
        <f t="shared" si="2"/>
        <v>https://w3id.org/mobilitydcat-ap/mobility-theme/bike-parking-locations</v>
      </c>
      <c r="B83" s="16" t="s">
        <v>100</v>
      </c>
      <c r="C83" s="16"/>
      <c r="D83" s="17"/>
      <c r="E83" s="17"/>
      <c r="F83" s="17" t="str">
        <f>A25</f>
        <v>https://w3id.org/mobilitydcat-ap/mobility-theme/data-content-sub-category</v>
      </c>
      <c r="G83" s="18" t="b">
        <v>1</v>
      </c>
      <c r="H83" s="17" t="str">
        <f>A69</f>
        <v>https://w3id.org/mobilitydcat-ap/mobility-theme/parking-locations-description-and-facilities</v>
      </c>
      <c r="I83" s="17" t="s">
        <v>44</v>
      </c>
    </row>
    <row r="84" spans="1:9" ht="45" x14ac:dyDescent="0.25">
      <c r="A84" s="10" t="str">
        <f t="shared" si="2"/>
        <v>https://w3id.org/mobilitydcat-ap/mobility-theme/filling-and-charging-stations</v>
      </c>
      <c r="B84" s="9" t="s">
        <v>101</v>
      </c>
      <c r="C84" s="8"/>
      <c r="E84" s="25" t="str">
        <f>_xlfn.TEXTJOIN(", ",,A89:A91)</f>
        <v>https://w3id.org/mobilitydcat-ap/mobility-theme/location-and-characteristics-of-filling-stations-and-charging-stations, https://w3id.org/mobilitydcat-ap/mobility-theme/availability-of-filling-stations-and-charging-stations, https://w3id.org/mobilitydcat-ap/mobility-theme/prices-of-filling-stations-and-charging-stations</v>
      </c>
      <c r="F84" s="1" t="str">
        <f>A24</f>
        <v>https://w3id.org/mobilitydcat-ap/mobility-theme/data-content-category</v>
      </c>
      <c r="I84" s="25" t="s">
        <v>102</v>
      </c>
    </row>
    <row r="85" spans="1:9" s="18" customFormat="1" ht="30" x14ac:dyDescent="0.25">
      <c r="A85" s="15" t="str">
        <f t="shared" si="2"/>
        <v>https://w3id.org/mobilitydcat-ap/mobility-theme/location-and-conditions-of-charging-points</v>
      </c>
      <c r="B85" s="16" t="s">
        <v>103</v>
      </c>
      <c r="C85" s="16"/>
      <c r="D85" s="17"/>
      <c r="E85" s="17"/>
      <c r="F85" s="17" t="str">
        <f>A25</f>
        <v>https://w3id.org/mobilitydcat-ap/mobility-theme/data-content-sub-category</v>
      </c>
      <c r="G85" s="18" t="b">
        <v>1</v>
      </c>
      <c r="H85" s="17" t="str">
        <f>A89</f>
        <v>https://w3id.org/mobilitydcat-ap/mobility-theme/location-and-characteristics-of-filling-stations-and-charging-stations</v>
      </c>
      <c r="I85" s="17" t="s">
        <v>102</v>
      </c>
    </row>
    <row r="86" spans="1:9" s="18" customFormat="1" ht="30" x14ac:dyDescent="0.25">
      <c r="A86" s="15" t="str">
        <f t="shared" si="2"/>
        <v>https://w3id.org/mobilitydcat-ap/mobility-theme/location-and-conditions-of-filling-stations</v>
      </c>
      <c r="B86" s="16" t="s">
        <v>104</v>
      </c>
      <c r="C86" s="16"/>
      <c r="D86" s="17"/>
      <c r="E86" s="17"/>
      <c r="F86" s="17" t="str">
        <f>A25</f>
        <v>https://w3id.org/mobilitydcat-ap/mobility-theme/data-content-sub-category</v>
      </c>
      <c r="G86" s="18" t="b">
        <v>1</v>
      </c>
      <c r="H86" s="17" t="str">
        <f>A89</f>
        <v>https://w3id.org/mobilitydcat-ap/mobility-theme/location-and-characteristics-of-filling-stations-and-charging-stations</v>
      </c>
      <c r="I86" s="17" t="s">
        <v>32</v>
      </c>
    </row>
    <row r="87" spans="1:9" s="18" customFormat="1" ht="30" x14ac:dyDescent="0.25">
      <c r="A87" s="15" t="str">
        <f t="shared" si="2"/>
        <v>https://w3id.org/mobilitydcat-ap/mobility-theme/availability-of-charging-points-for-electric-vehicles</v>
      </c>
      <c r="B87" s="16" t="s">
        <v>105</v>
      </c>
      <c r="C87" s="16"/>
      <c r="D87" s="17"/>
      <c r="E87" s="17"/>
      <c r="F87" s="17" t="str">
        <f>A25</f>
        <v>https://w3id.org/mobilitydcat-ap/mobility-theme/data-content-sub-category</v>
      </c>
      <c r="G87" s="18" t="b">
        <v>1</v>
      </c>
      <c r="H87" s="17" t="str">
        <f>A90</f>
        <v>https://w3id.org/mobilitydcat-ap/mobility-theme/availability-of-filling-stations-and-charging-stations</v>
      </c>
      <c r="I87" s="17" t="s">
        <v>102</v>
      </c>
    </row>
    <row r="88" spans="1:9" s="18" customFormat="1" x14ac:dyDescent="0.25">
      <c r="A88" s="15" t="str">
        <f t="shared" si="2"/>
        <v>https://w3id.org/mobilitydcat-ap/mobility-theme/availability-of-filling-stations</v>
      </c>
      <c r="B88" s="16" t="s">
        <v>106</v>
      </c>
      <c r="C88" s="16"/>
      <c r="D88" s="17"/>
      <c r="E88" s="17"/>
      <c r="F88" s="17" t="str">
        <f>A25</f>
        <v>https://w3id.org/mobilitydcat-ap/mobility-theme/data-content-sub-category</v>
      </c>
      <c r="G88" s="18" t="b">
        <v>1</v>
      </c>
      <c r="H88" s="17" t="str">
        <f>A90</f>
        <v>https://w3id.org/mobilitydcat-ap/mobility-theme/availability-of-filling-stations-and-charging-stations</v>
      </c>
      <c r="I88" s="17" t="s">
        <v>32</v>
      </c>
    </row>
    <row r="89" spans="1:9" s="23" customFormat="1" ht="30" x14ac:dyDescent="0.25">
      <c r="A89" s="20" t="str">
        <f t="shared" si="2"/>
        <v>https://w3id.org/mobilitydcat-ap/mobility-theme/location-and-characteristics-of-filling-stations-and-charging-stations</v>
      </c>
      <c r="B89" s="24" t="s">
        <v>260</v>
      </c>
      <c r="C89" s="24"/>
      <c r="D89" s="22"/>
      <c r="E89" s="22"/>
      <c r="F89" s="22" t="str">
        <f>A25</f>
        <v>https://w3id.org/mobilitydcat-ap/mobility-theme/data-content-sub-category</v>
      </c>
      <c r="H89" s="22"/>
      <c r="I89" s="22" t="s">
        <v>102</v>
      </c>
    </row>
    <row r="90" spans="1:9" s="23" customFormat="1" ht="30" x14ac:dyDescent="0.25">
      <c r="A90" s="20" t="str">
        <f t="shared" si="2"/>
        <v>https://w3id.org/mobilitydcat-ap/mobility-theme/availability-of-filling-stations-and-charging-stations</v>
      </c>
      <c r="B90" s="24" t="s">
        <v>107</v>
      </c>
      <c r="C90" s="24"/>
      <c r="D90" s="22"/>
      <c r="E90" s="22"/>
      <c r="F90" s="22" t="str">
        <f>A25</f>
        <v>https://w3id.org/mobilitydcat-ap/mobility-theme/data-content-sub-category</v>
      </c>
      <c r="H90" s="22"/>
      <c r="I90" s="22" t="s">
        <v>102</v>
      </c>
    </row>
    <row r="91" spans="1:9" s="23" customFormat="1" ht="30" x14ac:dyDescent="0.25">
      <c r="A91" s="20" t="str">
        <f t="shared" si="2"/>
        <v>https://w3id.org/mobilitydcat-ap/mobility-theme/prices-of-filling-stations-and-charging-stations</v>
      </c>
      <c r="B91" s="24" t="s">
        <v>108</v>
      </c>
      <c r="C91" s="24"/>
      <c r="D91" s="22"/>
      <c r="E91" s="22"/>
      <c r="F91" s="22" t="str">
        <f>A25</f>
        <v>https://w3id.org/mobilitydcat-ap/mobility-theme/data-content-sub-category</v>
      </c>
      <c r="H91" s="22"/>
      <c r="I91" s="22" t="s">
        <v>102</v>
      </c>
    </row>
    <row r="92" spans="1:9" ht="45" x14ac:dyDescent="0.25">
      <c r="A92" s="10" t="str">
        <f t="shared" si="2"/>
        <v>https://w3id.org/mobilitydcat-ap/mobility-theme/freight-and-logistics</v>
      </c>
      <c r="B92" s="9" t="s">
        <v>109</v>
      </c>
      <c r="C92" s="8"/>
      <c r="E92" s="1" t="str">
        <f>CONCATENATE(A93,", ",A94,", ",A95)</f>
        <v>https://w3id.org/mobilitydcat-ap/mobility-theme/freight-delivery-regulations, https://w3id.org/mobilitydcat-ap/mobility-theme/location-of-delivery-areas, https://w3id.org/mobilitydcat-ap/mobility-theme/availability-of-delivery-areas</v>
      </c>
      <c r="F92" s="1" t="str">
        <f>A24</f>
        <v>https://w3id.org/mobilitydcat-ap/mobility-theme/data-content-category</v>
      </c>
      <c r="I92" s="1" t="s">
        <v>32</v>
      </c>
    </row>
    <row r="93" spans="1:9" x14ac:dyDescent="0.25">
      <c r="A93" s="10" t="str">
        <f t="shared" si="2"/>
        <v>https://w3id.org/mobilitydcat-ap/mobility-theme/freight-delivery-regulations</v>
      </c>
      <c r="B93" s="8" t="s">
        <v>110</v>
      </c>
      <c r="C93" s="8"/>
      <c r="F93" s="1" t="str">
        <f>A25</f>
        <v>https://w3id.org/mobilitydcat-ap/mobility-theme/data-content-sub-category</v>
      </c>
      <c r="I93" s="1" t="s">
        <v>32</v>
      </c>
    </row>
    <row r="94" spans="1:9" x14ac:dyDescent="0.25">
      <c r="A94" s="10" t="str">
        <f t="shared" si="2"/>
        <v>https://w3id.org/mobilitydcat-ap/mobility-theme/location-of-delivery-areas</v>
      </c>
      <c r="B94" s="8" t="s">
        <v>111</v>
      </c>
      <c r="C94" s="8"/>
      <c r="F94" s="1" t="str">
        <f>A25</f>
        <v>https://w3id.org/mobilitydcat-ap/mobility-theme/data-content-sub-category</v>
      </c>
      <c r="I94" s="1" t="s">
        <v>32</v>
      </c>
    </row>
    <row r="95" spans="1:9" x14ac:dyDescent="0.25">
      <c r="A95" s="10" t="str">
        <f t="shared" si="2"/>
        <v>https://w3id.org/mobilitydcat-ap/mobility-theme/availability-of-delivery-areas</v>
      </c>
      <c r="B95" s="8" t="s">
        <v>112</v>
      </c>
      <c r="C95" s="8"/>
      <c r="F95" s="1" t="str">
        <f>A25</f>
        <v>https://w3id.org/mobilitydcat-ap/mobility-theme/data-content-sub-category</v>
      </c>
      <c r="I95" s="1" t="s">
        <v>32</v>
      </c>
    </row>
    <row r="96" spans="1:9" ht="150" x14ac:dyDescent="0.25">
      <c r="A96" s="10" t="str">
        <f t="shared" si="2"/>
        <v>https://w3id.org/mobilitydcat-ap/mobility-theme/dynamic-traffic-signs-and-regulations</v>
      </c>
      <c r="B96" s="9" t="s">
        <v>113</v>
      </c>
      <c r="C96" s="8"/>
      <c r="E96" s="1" t="str">
        <f>CONCATENATE(A97,", ",A98,", ",A99,", ",A100,", ",A101,", ",A102,", ",A103,", ",A104,", ",A105)</f>
        <v>https://w3id.org/mobilitydcat-ap/mobility-theme/road-closures-and-access-conditions, https://w3id.org/mobilitydcat-ap/mobility-theme/lane-closures-and-access-conditions, https://w3id.org/mobilitydcat-ap/mobility-theme/bridge-closures-and-access-conditions, https://w3id.org/mobilitydcat-ap/mobility-theme/tunnel-closures-and-access-conditions, https://w3id.org/mobilitydcat-ap/mobility-theme/other-access-restrictions-and-traffic-regulations, https://w3id.org/mobilitydcat-ap/mobility-theme/dynamic-overtaking-bans-on-heavy-goods-vehicles, https://w3id.org/mobilitydcat-ap/mobility-theme/dynamic-speed-limits, https://w3id.org/mobilitydcat-ap/mobility-theme/direction-of-travel-on-reversible-lanes, https://w3id.org/mobilitydcat-ap/mobility-theme/other-temporary-traffic-management-measures-or-plans</v>
      </c>
      <c r="F96" s="1" t="str">
        <f>A24</f>
        <v>https://w3id.org/mobilitydcat-ap/mobility-theme/data-content-category</v>
      </c>
      <c r="I96" s="1" t="s">
        <v>32</v>
      </c>
    </row>
    <row r="97" spans="1:9" x14ac:dyDescent="0.25">
      <c r="A97" s="10" t="str">
        <f t="shared" si="2"/>
        <v>https://w3id.org/mobilitydcat-ap/mobility-theme/road-closures-and-access-conditions</v>
      </c>
      <c r="B97" s="8" t="s">
        <v>114</v>
      </c>
      <c r="C97" s="8"/>
      <c r="F97" s="1" t="str">
        <f>A25</f>
        <v>https://w3id.org/mobilitydcat-ap/mobility-theme/data-content-sub-category</v>
      </c>
      <c r="I97" s="1" t="s">
        <v>32</v>
      </c>
    </row>
    <row r="98" spans="1:9" x14ac:dyDescent="0.25">
      <c r="A98" s="10" t="str">
        <f t="shared" si="2"/>
        <v>https://w3id.org/mobilitydcat-ap/mobility-theme/lane-closures-and-access-conditions</v>
      </c>
      <c r="B98" s="8" t="s">
        <v>115</v>
      </c>
      <c r="C98" s="8"/>
      <c r="F98" s="1" t="str">
        <f>A25</f>
        <v>https://w3id.org/mobilitydcat-ap/mobility-theme/data-content-sub-category</v>
      </c>
      <c r="I98" s="1" t="s">
        <v>32</v>
      </c>
    </row>
    <row r="99" spans="1:9" x14ac:dyDescent="0.25">
      <c r="A99" s="10" t="str">
        <f t="shared" si="2"/>
        <v>https://w3id.org/mobilitydcat-ap/mobility-theme/bridge-closures-and-access-conditions</v>
      </c>
      <c r="B99" s="8" t="s">
        <v>116</v>
      </c>
      <c r="C99" s="8"/>
      <c r="F99" s="1" t="str">
        <f>A25</f>
        <v>https://w3id.org/mobilitydcat-ap/mobility-theme/data-content-sub-category</v>
      </c>
      <c r="I99" s="1" t="s">
        <v>32</v>
      </c>
    </row>
    <row r="100" spans="1:9" x14ac:dyDescent="0.25">
      <c r="A100" s="10" t="str">
        <f t="shared" si="2"/>
        <v>https://w3id.org/mobilitydcat-ap/mobility-theme/tunnel-closures-and-access-conditions</v>
      </c>
      <c r="B100" s="8" t="s">
        <v>117</v>
      </c>
      <c r="C100" s="8"/>
      <c r="F100" s="1" t="str">
        <f>A25</f>
        <v>https://w3id.org/mobilitydcat-ap/mobility-theme/data-content-sub-category</v>
      </c>
      <c r="I100" s="1" t="s">
        <v>32</v>
      </c>
    </row>
    <row r="101" spans="1:9" x14ac:dyDescent="0.25">
      <c r="A101" s="10" t="str">
        <f t="shared" si="2"/>
        <v>https://w3id.org/mobilitydcat-ap/mobility-theme/other-access-restrictions-and-traffic-regulations</v>
      </c>
      <c r="B101" s="8" t="s">
        <v>118</v>
      </c>
      <c r="C101" s="8"/>
      <c r="F101" s="1" t="str">
        <f>A25</f>
        <v>https://w3id.org/mobilitydcat-ap/mobility-theme/data-content-sub-category</v>
      </c>
      <c r="I101" s="1" t="s">
        <v>32</v>
      </c>
    </row>
    <row r="102" spans="1:9" x14ac:dyDescent="0.25">
      <c r="A102" s="10" t="str">
        <f t="shared" si="2"/>
        <v>https://w3id.org/mobilitydcat-ap/mobility-theme/dynamic-overtaking-bans-on-heavy-goods-vehicles</v>
      </c>
      <c r="B102" s="8" t="s">
        <v>119</v>
      </c>
      <c r="C102" s="8"/>
      <c r="F102" s="1" t="str">
        <f>A25</f>
        <v>https://w3id.org/mobilitydcat-ap/mobility-theme/data-content-sub-category</v>
      </c>
      <c r="I102" s="1" t="s">
        <v>32</v>
      </c>
    </row>
    <row r="103" spans="1:9" x14ac:dyDescent="0.25">
      <c r="A103" s="10" t="str">
        <f t="shared" si="2"/>
        <v>https://w3id.org/mobilitydcat-ap/mobility-theme/dynamic-speed-limits</v>
      </c>
      <c r="B103" s="8" t="s">
        <v>120</v>
      </c>
      <c r="C103" s="8"/>
      <c r="F103" s="1" t="str">
        <f>A25</f>
        <v>https://w3id.org/mobilitydcat-ap/mobility-theme/data-content-sub-category</v>
      </c>
      <c r="I103" s="1" t="s">
        <v>32</v>
      </c>
    </row>
    <row r="104" spans="1:9" x14ac:dyDescent="0.25">
      <c r="A104" s="10" t="str">
        <f t="shared" si="2"/>
        <v>https://w3id.org/mobilitydcat-ap/mobility-theme/direction-of-travel-on-reversible-lanes</v>
      </c>
      <c r="B104" s="8" t="s">
        <v>121</v>
      </c>
      <c r="C104" s="8"/>
      <c r="F104" s="1" t="str">
        <f>A25</f>
        <v>https://w3id.org/mobilitydcat-ap/mobility-theme/data-content-sub-category</v>
      </c>
      <c r="I104" s="1" t="s">
        <v>32</v>
      </c>
    </row>
    <row r="105" spans="1:9" x14ac:dyDescent="0.25">
      <c r="A105" s="10" t="str">
        <f t="shared" si="2"/>
        <v>https://w3id.org/mobilitydcat-ap/mobility-theme/other-temporary-traffic-management-measures-or-plans</v>
      </c>
      <c r="B105" s="8" t="s">
        <v>122</v>
      </c>
      <c r="C105" s="8"/>
      <c r="F105" s="1" t="str">
        <f>A25</f>
        <v>https://w3id.org/mobilitydcat-ap/mobility-theme/data-content-sub-category</v>
      </c>
      <c r="I105" s="1" t="s">
        <v>32</v>
      </c>
    </row>
    <row r="106" spans="1:9" ht="30" x14ac:dyDescent="0.25">
      <c r="A106" s="10" t="str">
        <f t="shared" si="2"/>
        <v>https://w3id.org/mobilitydcat-ap/mobility-theme/road-work-information</v>
      </c>
      <c r="B106" s="9" t="s">
        <v>123</v>
      </c>
      <c r="C106" s="8"/>
      <c r="E106" s="1" t="str">
        <f>CONCATENATE(A107,", ",A108)</f>
        <v>https://w3id.org/mobilitydcat-ap/mobility-theme/long-term-road-works, https://w3id.org/mobilitydcat-ap/mobility-theme/short-term-road-works</v>
      </c>
      <c r="F106" s="1" t="str">
        <f>A24</f>
        <v>https://w3id.org/mobilitydcat-ap/mobility-theme/data-content-category</v>
      </c>
      <c r="I106" s="1" t="s">
        <v>124</v>
      </c>
    </row>
    <row r="107" spans="1:9" x14ac:dyDescent="0.25">
      <c r="A107" s="10" t="str">
        <f t="shared" si="2"/>
        <v>https://w3id.org/mobilitydcat-ap/mobility-theme/long-term-road-works</v>
      </c>
      <c r="B107" s="8" t="s">
        <v>125</v>
      </c>
      <c r="C107" s="8"/>
      <c r="F107" s="1" t="str">
        <f>A25</f>
        <v>https://w3id.org/mobilitydcat-ap/mobility-theme/data-content-sub-category</v>
      </c>
      <c r="I107" s="1" t="s">
        <v>32</v>
      </c>
    </row>
    <row r="108" spans="1:9" ht="30" x14ac:dyDescent="0.25">
      <c r="A108" s="10" t="str">
        <f t="shared" si="2"/>
        <v>https://w3id.org/mobilitydcat-ap/mobility-theme/short-term-road-works</v>
      </c>
      <c r="B108" s="8" t="s">
        <v>126</v>
      </c>
      <c r="C108" s="8"/>
      <c r="F108" s="1" t="str">
        <f>A25</f>
        <v>https://w3id.org/mobilitydcat-ap/mobility-theme/data-content-sub-category</v>
      </c>
      <c r="I108" s="1" t="s">
        <v>124</v>
      </c>
    </row>
    <row r="109" spans="1:9" ht="45" x14ac:dyDescent="0.25">
      <c r="A109" s="10" t="str">
        <f t="shared" si="2"/>
        <v>https://w3id.org/mobilitydcat-ap/mobility-theme/road-events-and-conditions</v>
      </c>
      <c r="B109" s="9" t="s">
        <v>127</v>
      </c>
      <c r="C109" s="8"/>
      <c r="E109" s="1" t="str">
        <f>CONCATENATE(A110,", ",A111,", ",A112)</f>
        <v>https://w3id.org/mobilitydcat-ap/mobility-theme/accidents-and-incidents, https://w3id.org/mobilitydcat-ap/mobility-theme/poor-road-conditions, https://w3id.org/mobilitydcat-ap/mobility-theme/road-weather-conditions</v>
      </c>
      <c r="F109" s="1" t="str">
        <f>A24</f>
        <v>https://w3id.org/mobilitydcat-ap/mobility-theme/data-content-category</v>
      </c>
      <c r="I109" s="1" t="s">
        <v>124</v>
      </c>
    </row>
    <row r="110" spans="1:9" ht="30" x14ac:dyDescent="0.25">
      <c r="A110" s="10" t="str">
        <f t="shared" si="2"/>
        <v>https://w3id.org/mobilitydcat-ap/mobility-theme/accidents-and-incidents</v>
      </c>
      <c r="B110" s="8" t="s">
        <v>128</v>
      </c>
      <c r="C110" s="8"/>
      <c r="F110" s="1" t="str">
        <f>A25</f>
        <v>https://w3id.org/mobilitydcat-ap/mobility-theme/data-content-sub-category</v>
      </c>
      <c r="I110" s="1" t="s">
        <v>124</v>
      </c>
    </row>
    <row r="111" spans="1:9" ht="30" x14ac:dyDescent="0.25">
      <c r="A111" s="10" t="str">
        <f t="shared" si="2"/>
        <v>https://w3id.org/mobilitydcat-ap/mobility-theme/poor-road-conditions</v>
      </c>
      <c r="B111" s="8" t="s">
        <v>129</v>
      </c>
      <c r="C111" s="8"/>
      <c r="F111" s="1" t="str">
        <f>A25</f>
        <v>https://w3id.org/mobilitydcat-ap/mobility-theme/data-content-sub-category</v>
      </c>
      <c r="I111" s="1" t="s">
        <v>124</v>
      </c>
    </row>
    <row r="112" spans="1:9" ht="30" x14ac:dyDescent="0.25">
      <c r="A112" s="10" t="str">
        <f t="shared" si="2"/>
        <v>https://w3id.org/mobilitydcat-ap/mobility-theme/road-weather-conditions</v>
      </c>
      <c r="B112" s="8" t="s">
        <v>130</v>
      </c>
      <c r="C112" s="8"/>
      <c r="F112" s="1" t="str">
        <f>A25</f>
        <v>https://w3id.org/mobilitydcat-ap/mobility-theme/data-content-sub-category</v>
      </c>
      <c r="I112" s="1" t="s">
        <v>124</v>
      </c>
    </row>
    <row r="113" spans="1:9" ht="165" x14ac:dyDescent="0.25">
      <c r="A113" s="10" t="str">
        <f t="shared" si="2"/>
        <v>https://w3id.org/mobilitydcat-ap/mobility-theme/real-time-traffic-data</v>
      </c>
      <c r="B113" s="9" t="s">
        <v>131</v>
      </c>
      <c r="C113" s="8"/>
      <c r="E113" s="25" t="str">
        <f>_xlfn.TEXTJOIN(", ",,A114:A125)</f>
        <v>https://w3id.org/mobilitydcat-ap/mobility-theme/traffic-volume, https://w3id.org/mobilitydcat-ap/mobility-theme/speed, https://w3id.org/mobilitydcat-ap/mobility-theme/traffic-speed, https://w3id.org/mobilitydcat-ap/mobility-theme/location-and-length-of-traffic-queues, https://w3id.org/mobilitydcat-ap/mobility-theme/current-travel-times, https://w3id.org/mobilitydcat-ap/mobility-theme/current-road-travel-times, https://w3id.org/mobilitydcat-ap/mobility-theme/predicted-travel-times, https://w3id.org/mobilitydcat-ap/mobility-theme/predicted-road-travel-times, https://w3id.org/mobilitydcat-ap/mobility-theme/expected-delays, https://w3id.org/mobilitydcat-ap/mobility-theme/expected-road-traffic-delays, https://w3id.org/mobilitydcat-ap/mobility-theme/waiting-time-at-border-crossings-to-non-eu-member-states, https://w3id.org/mobilitydcat-ap/mobility-theme/traffic-data-at-border-crossings-to-third-countries</v>
      </c>
      <c r="F113" s="1" t="str">
        <f>A24</f>
        <v>https://w3id.org/mobilitydcat-ap/mobility-theme/data-content-category</v>
      </c>
      <c r="I113" s="1" t="s">
        <v>32</v>
      </c>
    </row>
    <row r="114" spans="1:9" x14ac:dyDescent="0.25">
      <c r="A114" s="10" t="str">
        <f t="shared" si="2"/>
        <v>https://w3id.org/mobilitydcat-ap/mobility-theme/traffic-volume</v>
      </c>
      <c r="B114" s="8" t="s">
        <v>132</v>
      </c>
      <c r="C114" s="8"/>
      <c r="F114" s="1" t="str">
        <f>A25</f>
        <v>https://w3id.org/mobilitydcat-ap/mobility-theme/data-content-sub-category</v>
      </c>
      <c r="I114" s="1" t="s">
        <v>32</v>
      </c>
    </row>
    <row r="115" spans="1:9" s="18" customFormat="1" x14ac:dyDescent="0.25">
      <c r="A115" s="15" t="str">
        <f t="shared" si="2"/>
        <v>https://w3id.org/mobilitydcat-ap/mobility-theme/speed</v>
      </c>
      <c r="B115" s="16" t="s">
        <v>133</v>
      </c>
      <c r="C115" s="16"/>
      <c r="D115" s="17"/>
      <c r="E115" s="17"/>
      <c r="F115" s="17" t="str">
        <f>A25</f>
        <v>https://w3id.org/mobilitydcat-ap/mobility-theme/data-content-sub-category</v>
      </c>
      <c r="G115" s="18" t="b">
        <v>1</v>
      </c>
      <c r="H115" s="18" t="s">
        <v>134</v>
      </c>
      <c r="I115" s="17" t="s">
        <v>32</v>
      </c>
    </row>
    <row r="116" spans="1:9" s="23" customFormat="1" x14ac:dyDescent="0.25">
      <c r="A116" s="20" t="str">
        <f t="shared" si="2"/>
        <v>https://w3id.org/mobilitydcat-ap/mobility-theme/traffic-speed</v>
      </c>
      <c r="B116" s="24" t="s">
        <v>135</v>
      </c>
      <c r="C116" s="24"/>
      <c r="D116" s="22"/>
      <c r="E116" s="22"/>
      <c r="F116" s="22" t="str">
        <f>A25</f>
        <v>https://w3id.org/mobilitydcat-ap/mobility-theme/data-content-sub-category</v>
      </c>
      <c r="H116" s="22"/>
      <c r="I116" s="22" t="s">
        <v>32</v>
      </c>
    </row>
    <row r="117" spans="1:9" x14ac:dyDescent="0.25">
      <c r="A117" s="10" t="str">
        <f t="shared" si="2"/>
        <v>https://w3id.org/mobilitydcat-ap/mobility-theme/location-and-length-of-traffic-queues</v>
      </c>
      <c r="B117" s="8" t="s">
        <v>136</v>
      </c>
      <c r="C117" s="8"/>
      <c r="F117" s="1" t="str">
        <f>A25</f>
        <v>https://w3id.org/mobilitydcat-ap/mobility-theme/data-content-sub-category</v>
      </c>
      <c r="I117" s="1" t="s">
        <v>32</v>
      </c>
    </row>
    <row r="118" spans="1:9" s="18" customFormat="1" x14ac:dyDescent="0.25">
      <c r="A118" s="15" t="str">
        <f>_xlfn.CONCAT($B$1,"/",SUBSTITUTE(SUBSTITUTE(LOWER(SUBSTITUTE(B118,"/","-"))," ","-"),",",""))</f>
        <v>https://w3id.org/mobilitydcat-ap/mobility-theme/current-travel-times</v>
      </c>
      <c r="B118" s="16" t="s">
        <v>137</v>
      </c>
      <c r="C118" s="16"/>
      <c r="D118" s="17"/>
      <c r="E118" s="17"/>
      <c r="F118" s="17" t="str">
        <f>A25</f>
        <v>https://w3id.org/mobilitydcat-ap/mobility-theme/data-content-sub-category</v>
      </c>
      <c r="G118" s="18" t="b">
        <v>1</v>
      </c>
      <c r="H118" s="17" t="str">
        <f>A119</f>
        <v>https://w3id.org/mobilitydcat-ap/mobility-theme/current-road-travel-times</v>
      </c>
      <c r="I118" s="18" t="s">
        <v>32</v>
      </c>
    </row>
    <row r="119" spans="1:9" s="23" customFormat="1" x14ac:dyDescent="0.25">
      <c r="A119" s="20" t="str">
        <f t="shared" ref="A119:A123" si="3">_xlfn.CONCAT($B$1,"/",SUBSTITUTE(SUBSTITUTE(LOWER(SUBSTITUTE(B119,"/","-"))," ","-"),",",""))</f>
        <v>https://w3id.org/mobilitydcat-ap/mobility-theme/current-road-travel-times</v>
      </c>
      <c r="B119" s="24" t="s">
        <v>138</v>
      </c>
      <c r="C119" s="24"/>
      <c r="D119" s="22"/>
      <c r="E119" s="22"/>
      <c r="F119" s="22" t="str">
        <f>A25</f>
        <v>https://w3id.org/mobilitydcat-ap/mobility-theme/data-content-sub-category</v>
      </c>
      <c r="H119" s="22"/>
      <c r="I119" s="23" t="s">
        <v>32</v>
      </c>
    </row>
    <row r="120" spans="1:9" s="18" customFormat="1" x14ac:dyDescent="0.25">
      <c r="A120" s="15" t="str">
        <f t="shared" si="3"/>
        <v>https://w3id.org/mobilitydcat-ap/mobility-theme/predicted-travel-times</v>
      </c>
      <c r="B120" s="16" t="s">
        <v>139</v>
      </c>
      <c r="C120" s="16"/>
      <c r="D120" s="17"/>
      <c r="E120" s="17"/>
      <c r="F120" s="17" t="str">
        <f>A25</f>
        <v>https://w3id.org/mobilitydcat-ap/mobility-theme/data-content-sub-category</v>
      </c>
      <c r="G120" s="18" t="b">
        <v>1</v>
      </c>
      <c r="H120" s="17" t="str">
        <f>A121</f>
        <v>https://w3id.org/mobilitydcat-ap/mobility-theme/predicted-road-travel-times</v>
      </c>
      <c r="I120" s="17" t="s">
        <v>32</v>
      </c>
    </row>
    <row r="121" spans="1:9" s="23" customFormat="1" x14ac:dyDescent="0.25">
      <c r="A121" s="20" t="str">
        <f t="shared" si="3"/>
        <v>https://w3id.org/mobilitydcat-ap/mobility-theme/predicted-road-travel-times</v>
      </c>
      <c r="B121" s="24" t="s">
        <v>140</v>
      </c>
      <c r="C121" s="24"/>
      <c r="D121" s="22"/>
      <c r="E121" s="22"/>
      <c r="F121" s="22" t="str">
        <f>A25</f>
        <v>https://w3id.org/mobilitydcat-ap/mobility-theme/data-content-sub-category</v>
      </c>
      <c r="H121" s="22"/>
      <c r="I121" s="23" t="s">
        <v>32</v>
      </c>
    </row>
    <row r="122" spans="1:9" s="18" customFormat="1" x14ac:dyDescent="0.25">
      <c r="A122" s="15" t="str">
        <f t="shared" si="3"/>
        <v>https://w3id.org/mobilitydcat-ap/mobility-theme/expected-delays</v>
      </c>
      <c r="B122" s="16" t="s">
        <v>141</v>
      </c>
      <c r="C122" s="16"/>
      <c r="D122" s="17"/>
      <c r="E122" s="17"/>
      <c r="F122" s="17" t="str">
        <f>A25</f>
        <v>https://w3id.org/mobilitydcat-ap/mobility-theme/data-content-sub-category</v>
      </c>
      <c r="G122" s="18" t="b">
        <v>1</v>
      </c>
      <c r="H122" s="17" t="str">
        <f>A123</f>
        <v>https://w3id.org/mobilitydcat-ap/mobility-theme/expected-road-traffic-delays</v>
      </c>
      <c r="I122" s="17" t="s">
        <v>32</v>
      </c>
    </row>
    <row r="123" spans="1:9" s="23" customFormat="1" x14ac:dyDescent="0.25">
      <c r="A123" s="20" t="str">
        <f t="shared" si="3"/>
        <v>https://w3id.org/mobilitydcat-ap/mobility-theme/expected-road-traffic-delays</v>
      </c>
      <c r="B123" s="24" t="s">
        <v>142</v>
      </c>
      <c r="C123" s="24"/>
      <c r="D123" s="22"/>
      <c r="E123" s="22"/>
      <c r="F123" s="22" t="str">
        <f>A25</f>
        <v>https://w3id.org/mobilitydcat-ap/mobility-theme/data-content-sub-category</v>
      </c>
      <c r="H123" s="22"/>
      <c r="I123" s="23" t="s">
        <v>32</v>
      </c>
    </row>
    <row r="124" spans="1:9" x14ac:dyDescent="0.25">
      <c r="A124" s="10" t="str">
        <f t="shared" si="2"/>
        <v>https://w3id.org/mobilitydcat-ap/mobility-theme/waiting-time-at-border-crossings-to-non-eu-member-states</v>
      </c>
      <c r="B124" s="8" t="s">
        <v>143</v>
      </c>
      <c r="C124" s="8"/>
      <c r="F124" s="1" t="str">
        <f>A25</f>
        <v>https://w3id.org/mobilitydcat-ap/mobility-theme/data-content-sub-category</v>
      </c>
      <c r="I124" s="1" t="s">
        <v>32</v>
      </c>
    </row>
    <row r="125" spans="1:9" x14ac:dyDescent="0.25">
      <c r="A125" s="10" t="str">
        <f t="shared" si="2"/>
        <v>https://w3id.org/mobilitydcat-ap/mobility-theme/traffic-data-at-border-crossings-to-third-countries</v>
      </c>
      <c r="B125" s="8" t="s">
        <v>144</v>
      </c>
      <c r="C125" s="8"/>
      <c r="F125" s="1" t="str">
        <f>A25</f>
        <v>https://w3id.org/mobilitydcat-ap/mobility-theme/data-content-sub-category</v>
      </c>
      <c r="I125" s="25" t="s">
        <v>32</v>
      </c>
    </row>
    <row r="126" spans="1:9" ht="101.25" customHeight="1" x14ac:dyDescent="0.25">
      <c r="A126" s="10" t="str">
        <f t="shared" si="2"/>
        <v>https://w3id.org/mobilitydcat-ap/mobility-theme/general-information-for-trip-planning</v>
      </c>
      <c r="B126" s="9" t="s">
        <v>145</v>
      </c>
      <c r="C126" s="8"/>
      <c r="E126" s="1" t="str">
        <f>_xlfn.TEXTJOIN(", ",,A127:A133)</f>
        <v>https://w3id.org/mobilitydcat-ap/mobility-theme/address-identifiers, https://w3id.org/mobilitydcat-ap/mobility-theme/topographic-places, https://w3id.org/mobilitydcat-ap/mobility-theme/points-of-interest, https://w3id.org/mobilitydcat-ap/mobility-theme/parameters-needed-to-calculate-environmental-factors, https://w3id.org/mobilitydcat-ap/mobility-theme/parameters-needed-to-calculate-costs, https://w3id.org/mobilitydcat-ap/mobility-theme/parameters-needed-to-calculate-energy-fuel-consumption, https://w3id.org/mobilitydcat-ap/mobility-theme/estimated-travel-times-for-multimodal-trip-planning</v>
      </c>
      <c r="F126" s="1" t="str">
        <f>A24</f>
        <v>https://w3id.org/mobilitydcat-ap/mobility-theme/data-content-category</v>
      </c>
      <c r="I126" s="1" t="s">
        <v>44</v>
      </c>
    </row>
    <row r="127" spans="1:9" x14ac:dyDescent="0.25">
      <c r="A127" s="10" t="str">
        <f t="shared" si="2"/>
        <v>https://w3id.org/mobilitydcat-ap/mobility-theme/address-identifiers</v>
      </c>
      <c r="B127" s="8" t="s">
        <v>146</v>
      </c>
      <c r="C127" s="8"/>
      <c r="F127" s="1" t="str">
        <f>A25</f>
        <v>https://w3id.org/mobilitydcat-ap/mobility-theme/data-content-sub-category</v>
      </c>
      <c r="I127" s="1" t="s">
        <v>44</v>
      </c>
    </row>
    <row r="128" spans="1:9" x14ac:dyDescent="0.25">
      <c r="A128" s="10" t="str">
        <f t="shared" si="2"/>
        <v>https://w3id.org/mobilitydcat-ap/mobility-theme/topographic-places</v>
      </c>
      <c r="B128" s="8" t="s">
        <v>147</v>
      </c>
      <c r="C128" s="8"/>
      <c r="F128" s="1" t="str">
        <f>A25</f>
        <v>https://w3id.org/mobilitydcat-ap/mobility-theme/data-content-sub-category</v>
      </c>
      <c r="I128" s="1" t="s">
        <v>44</v>
      </c>
    </row>
    <row r="129" spans="1:9" x14ac:dyDescent="0.25">
      <c r="A129" s="10" t="str">
        <f t="shared" si="2"/>
        <v>https://w3id.org/mobilitydcat-ap/mobility-theme/points-of-interest</v>
      </c>
      <c r="B129" s="8" t="s">
        <v>148</v>
      </c>
      <c r="C129" s="8"/>
      <c r="F129" s="1" t="str">
        <f>A25</f>
        <v>https://w3id.org/mobilitydcat-ap/mobility-theme/data-content-sub-category</v>
      </c>
      <c r="I129" s="1" t="s">
        <v>44</v>
      </c>
    </row>
    <row r="130" spans="1:9" ht="45" x14ac:dyDescent="0.25">
      <c r="A130" s="10" t="str">
        <f t="shared" si="2"/>
        <v>https://w3id.org/mobilitydcat-ap/mobility-theme/parameters-needed-to-calculate-environmental-factors</v>
      </c>
      <c r="B130" s="8" t="s">
        <v>149</v>
      </c>
      <c r="C130" s="8"/>
      <c r="D130" s="1" t="s">
        <v>150</v>
      </c>
      <c r="F130" s="1" t="str">
        <f>A25</f>
        <v>https://w3id.org/mobilitydcat-ap/mobility-theme/data-content-sub-category</v>
      </c>
      <c r="I130" s="1" t="s">
        <v>44</v>
      </c>
    </row>
    <row r="131" spans="1:9" s="18" customFormat="1" ht="30" x14ac:dyDescent="0.25">
      <c r="A131" s="15" t="str">
        <f t="shared" si="2"/>
        <v>https://w3id.org/mobilitydcat-ap/mobility-theme/parameters-needed-to-calculate-costs</v>
      </c>
      <c r="B131" s="16" t="s">
        <v>151</v>
      </c>
      <c r="C131" s="16"/>
      <c r="D131" s="17"/>
      <c r="E131" s="17"/>
      <c r="F131" s="17" t="str">
        <f>A25</f>
        <v>https://w3id.org/mobilitydcat-ap/mobility-theme/data-content-sub-category</v>
      </c>
      <c r="G131" s="18" t="b">
        <v>1</v>
      </c>
      <c r="H131" s="17" t="s">
        <v>152</v>
      </c>
      <c r="I131" s="17" t="s">
        <v>44</v>
      </c>
    </row>
    <row r="132" spans="1:9" s="23" customFormat="1" ht="30" x14ac:dyDescent="0.25">
      <c r="A132" s="20" t="str">
        <f>_xlfn.CONCAT($B$1,"/",SUBSTITUTE(SUBSTITUTE(LOWER(SUBSTITUTE(B132,"/","-"))," ","-"),",",""))</f>
        <v>https://w3id.org/mobilitydcat-ap/mobility-theme/parameters-needed-to-calculate-energy-fuel-consumption</v>
      </c>
      <c r="B132" s="24" t="s">
        <v>153</v>
      </c>
      <c r="C132" s="24"/>
      <c r="D132" s="22" t="s">
        <v>154</v>
      </c>
      <c r="E132" s="22"/>
      <c r="F132" s="22" t="str">
        <f>A25</f>
        <v>https://w3id.org/mobilitydcat-ap/mobility-theme/data-content-sub-category</v>
      </c>
      <c r="H132" s="22"/>
      <c r="I132" s="22" t="s">
        <v>44</v>
      </c>
    </row>
    <row r="133" spans="1:9" s="23" customFormat="1" ht="30" x14ac:dyDescent="0.25">
      <c r="A133" s="20" t="str">
        <f>_xlfn.CONCAT($B$1,"/",SUBSTITUTE(SUBSTITUTE(LOWER(SUBSTITUTE(B133,"/","-"))," ","-"),",",""))</f>
        <v>https://w3id.org/mobilitydcat-ap/mobility-theme/estimated-travel-times-for-multimodal-trip-planning</v>
      </c>
      <c r="B133" s="21" t="s">
        <v>155</v>
      </c>
      <c r="C133" s="24"/>
      <c r="D133" s="22" t="s">
        <v>156</v>
      </c>
      <c r="E133" s="22"/>
      <c r="F133" s="22" t="str">
        <f>A25</f>
        <v>https://w3id.org/mobilitydcat-ap/mobility-theme/data-content-sub-category</v>
      </c>
      <c r="H133" s="22"/>
      <c r="I133" s="22" t="s">
        <v>44</v>
      </c>
    </row>
    <row r="134" spans="1:9" s="18" customFormat="1" ht="45.75" customHeight="1" x14ac:dyDescent="0.25">
      <c r="A134" s="15" t="str">
        <f t="shared" ref="A134:A135" si="4">_xlfn.CONCAT($B$1,"/",SUBSTITUTE(SUBSTITUTE(LOWER(SUBSTITUTE(B134,"/","-"))," ","-"),",",""))</f>
        <v>https://w3id.org/mobilitydcat-ap/mobility-theme/public-transport-scheduled-transport</v>
      </c>
      <c r="B134" s="16" t="s">
        <v>157</v>
      </c>
      <c r="C134" s="16"/>
      <c r="D134" s="17"/>
      <c r="E134" s="17"/>
      <c r="F134" s="17" t="str">
        <f>A24</f>
        <v>https://w3id.org/mobilitydcat-ap/mobility-theme/data-content-category</v>
      </c>
      <c r="G134" s="18" t="b">
        <v>1</v>
      </c>
      <c r="H134" s="17" t="str">
        <f>A135</f>
        <v>https://w3id.org/mobilitydcat-ap/mobility-theme/public-transport-and-on-demand-services</v>
      </c>
      <c r="I134" s="17" t="s">
        <v>44</v>
      </c>
    </row>
    <row r="135" spans="1:9" s="23" customFormat="1" ht="359.25" customHeight="1" x14ac:dyDescent="0.25">
      <c r="A135" s="20" t="str">
        <f t="shared" si="4"/>
        <v>https://w3id.org/mobilitydcat-ap/mobility-theme/public-transport-and-on-demand-services</v>
      </c>
      <c r="B135" s="9" t="s">
        <v>158</v>
      </c>
      <c r="C135" s="24"/>
      <c r="D135" s="22"/>
      <c r="E135" s="22" t="str">
        <f>_xlfn.TEXTJOIN(" ,",,A137:A178)</f>
        <v>https://w3id.org/mobilitydcat-ap/mobility-theme/facility-location-and-features ,https://w3id.org/mobilitydcat-ap/mobility-theme/stop-facilities-geometry-and-map-layout ,https://w3id.org/mobilitydcat-ap/mobility-theme/facility-geometry-and-map-layout ,https://w3id.org/mobilitydcat-ap/mobility-theme/stop-facilities-status-of-features ,https://w3id.org/mobilitydcat-ap/mobility-theme/facility-features-status ,https://w3id.org/mobilitydcat-ap/mobility-theme/stop-facilities-accessibility-and-paths-within-facility ,https://w3id.org/mobilitydcat-ap/mobility-theme/accessibility-and-paths-within-facilities ,https://w3id.org/mobilitydcat-ap/mobility-theme/operational-calendar ,https://w3id.org/mobilitydcat-ap/mobility-theme/connection-links ,https://w3id.org/mobilitydcat-ap/mobility-theme/network-topology-and-routes-lines ,https://w3id.org/mobilitydcat-ap/mobility-theme/transport-operators ,https://w3id.org/mobilitydcat-ap/mobility-theme/timetables-static ,https://w3id.org/mobilitydcat-ap/mobility-theme/real-time-estimated-departure-and-arrival-times ,https://w3id.org/mobilitydcat-ap/mobility-theme/planned-interchanges-between-scheduled-services ,https://w3id.org/mobilitydcat-ap/mobility-theme/hours-of-operation ,https://w3id.org/mobilitydcat-ap/mobility-theme/vehicle-details ,https://w3id.org/mobilitydcat-ap/mobility-theme/transport-operator-vehicle-fleet-description ,https://w3id.org/mobilitydcat-ap/mobility-theme/environmental-standards-for-vehicles ,https://w3id.org/mobilitydcat-ap/mobility-theme/disruptions-delays-cancellations ,https://w3id.org/mobilitydcat-ap/mobility-theme/basic-common-standard-fares ,https://w3id.org/mobilitydcat-ap/mobility-theme/passenger-classes ,https://w3id.org/mobilitydcat-ap/mobility-theme/common-fare-products ,https://w3id.org/mobilitydcat-ap/mobility-theme/special-fare-products ,https://w3id.org/mobilitydcat-ap/mobility-theme/basic-commercial-conditions ,https://w3id.org/mobilitydcat-ap/mobility-theme/purchase-information ,https://w3id.org/mobilitydcat-ap/mobility-theme/purchase-and-reservation-information ,https://w3id.org/mobilitydcat-ap/mobility-theme/defaut-transfer-times-at-interchanges ,https://w3id.org/mobilitydcat-ap/mobility-theme/default-transfer-times-at-interchanges ,https://w3id.org/mobilitydcat-ap/mobility-theme/existence-of-assistance-services ,https://w3id.org/mobilitydcat-ap/mobility-theme/historic-travel-and-traffic-data-and-delays ,https://w3id.org/mobilitydcat-ap/mobility-theme/observed-data-on-delays-and-passing-time ,https://w3id.org/mobilitydcat-ap/mobility-theme/observed-data-on-cancellations ,https://w3id.org/mobilitydcat-ap/mobility-theme/vehicle-occupancy ,https://w3id.org/mobilitydcat-ap/mobility-theme/public-transport-non-scheduled-transport ,https://w3id.org/mobilitydcat-ap/mobility-theme/provider-data ,https://w3id.org/mobilitydcat-ap/mobility-theme/public-transport-provider-data ,https://w3id.org/mobilitydcat-ap/mobility-theme/service-areas-and-service-times ,https://w3id.org/mobilitydcat-ap/mobility-theme/service-area ,https://w3id.org/mobilitydcat-ap/mobility-theme/locations-and-stations ,https://w3id.org/mobilitydcat-ap/mobility-theme/fares ,https://w3id.org/mobilitydcat-ap/mobility-theme/reservation-and-purchase-options ,https://w3id.org/mobilitydcat-ap/mobility-theme/accessibility-information-for-vehicles</v>
      </c>
      <c r="F135" s="22" t="str">
        <f>A24</f>
        <v>https://w3id.org/mobilitydcat-ap/mobility-theme/data-content-category</v>
      </c>
      <c r="H135" s="22"/>
      <c r="I135" s="22" t="s">
        <v>44</v>
      </c>
    </row>
    <row r="136" spans="1:9" s="18" customFormat="1" x14ac:dyDescent="0.25">
      <c r="A136" s="15" t="str">
        <f t="shared" si="2"/>
        <v>https://w3id.org/mobilitydcat-ap/mobility-theme/stop-facilities-location-and-features</v>
      </c>
      <c r="B136" s="16" t="s">
        <v>159</v>
      </c>
      <c r="C136" s="16"/>
      <c r="D136" s="17"/>
      <c r="E136" s="17"/>
      <c r="F136" s="17" t="str">
        <f>A25</f>
        <v>https://w3id.org/mobilitydcat-ap/mobility-theme/data-content-sub-category</v>
      </c>
      <c r="G136" s="18" t="b">
        <v>1</v>
      </c>
      <c r="H136" s="17" t="str">
        <f>A137</f>
        <v>https://w3id.org/mobilitydcat-ap/mobility-theme/facility-location-and-features</v>
      </c>
      <c r="I136" s="17" t="s">
        <v>44</v>
      </c>
    </row>
    <row r="137" spans="1:9" s="23" customFormat="1" x14ac:dyDescent="0.25">
      <c r="A137" s="20" t="str">
        <f t="shared" si="2"/>
        <v>https://w3id.org/mobilitydcat-ap/mobility-theme/facility-location-and-features</v>
      </c>
      <c r="B137" s="24" t="s">
        <v>160</v>
      </c>
      <c r="C137" s="24"/>
      <c r="D137" s="22"/>
      <c r="E137" s="22"/>
      <c r="F137" s="22" t="str">
        <f>A25</f>
        <v>https://w3id.org/mobilitydcat-ap/mobility-theme/data-content-sub-category</v>
      </c>
      <c r="H137" s="22"/>
      <c r="I137" s="22" t="s">
        <v>44</v>
      </c>
    </row>
    <row r="138" spans="1:9" s="18" customFormat="1" x14ac:dyDescent="0.25">
      <c r="A138" s="15" t="str">
        <f t="shared" si="2"/>
        <v>https://w3id.org/mobilitydcat-ap/mobility-theme/stop-facilities-geometry-and-map-layout</v>
      </c>
      <c r="B138" s="16" t="s">
        <v>161</v>
      </c>
      <c r="C138" s="16"/>
      <c r="D138" s="17"/>
      <c r="E138" s="17"/>
      <c r="F138" s="17" t="str">
        <f>A25</f>
        <v>https://w3id.org/mobilitydcat-ap/mobility-theme/data-content-sub-category</v>
      </c>
      <c r="G138" s="18" t="b">
        <v>1</v>
      </c>
      <c r="H138" s="17" t="str">
        <f>A139</f>
        <v>https://w3id.org/mobilitydcat-ap/mobility-theme/facility-geometry-and-map-layout</v>
      </c>
      <c r="I138" s="17" t="s">
        <v>44</v>
      </c>
    </row>
    <row r="139" spans="1:9" s="23" customFormat="1" x14ac:dyDescent="0.25">
      <c r="A139" s="20" t="str">
        <f t="shared" si="2"/>
        <v>https://w3id.org/mobilitydcat-ap/mobility-theme/facility-geometry-and-map-layout</v>
      </c>
      <c r="B139" s="24" t="s">
        <v>162</v>
      </c>
      <c r="C139" s="24"/>
      <c r="D139" s="22"/>
      <c r="E139" s="22"/>
      <c r="F139" s="22" t="str">
        <f>A25</f>
        <v>https://w3id.org/mobilitydcat-ap/mobility-theme/data-content-sub-category</v>
      </c>
      <c r="H139" s="22"/>
      <c r="I139" s="22" t="s">
        <v>44</v>
      </c>
    </row>
    <row r="140" spans="1:9" s="18" customFormat="1" x14ac:dyDescent="0.25">
      <c r="A140" s="15" t="str">
        <f t="shared" si="2"/>
        <v>https://w3id.org/mobilitydcat-ap/mobility-theme/stop-facilities-status-of-features</v>
      </c>
      <c r="B140" s="16" t="s">
        <v>163</v>
      </c>
      <c r="C140" s="16"/>
      <c r="D140" s="17"/>
      <c r="E140" s="17"/>
      <c r="F140" s="17" t="str">
        <f>A25</f>
        <v>https://w3id.org/mobilitydcat-ap/mobility-theme/data-content-sub-category</v>
      </c>
      <c r="G140" s="18" t="b">
        <v>1</v>
      </c>
      <c r="H140" s="17" t="str">
        <f>A141</f>
        <v>https://w3id.org/mobilitydcat-ap/mobility-theme/facility-features-status</v>
      </c>
      <c r="I140" s="17" t="s">
        <v>44</v>
      </c>
    </row>
    <row r="141" spans="1:9" s="23" customFormat="1" x14ac:dyDescent="0.25">
      <c r="A141" s="20" t="str">
        <f t="shared" si="2"/>
        <v>https://w3id.org/mobilitydcat-ap/mobility-theme/facility-features-status</v>
      </c>
      <c r="B141" s="24" t="s">
        <v>164</v>
      </c>
      <c r="C141" s="24"/>
      <c r="D141" s="22"/>
      <c r="E141" s="22"/>
      <c r="F141" s="22" t="str">
        <f>A25</f>
        <v>https://w3id.org/mobilitydcat-ap/mobility-theme/data-content-sub-category</v>
      </c>
      <c r="H141" s="22"/>
      <c r="I141" s="22" t="s">
        <v>44</v>
      </c>
    </row>
    <row r="142" spans="1:9" s="18" customFormat="1" x14ac:dyDescent="0.25">
      <c r="A142" s="15" t="str">
        <f t="shared" si="2"/>
        <v>https://w3id.org/mobilitydcat-ap/mobility-theme/stop-facilities-accessibility-and-paths-within-facility</v>
      </c>
      <c r="B142" s="16" t="s">
        <v>165</v>
      </c>
      <c r="C142" s="16"/>
      <c r="D142" s="17"/>
      <c r="E142" s="17"/>
      <c r="F142" s="17" t="str">
        <f>A25</f>
        <v>https://w3id.org/mobilitydcat-ap/mobility-theme/data-content-sub-category</v>
      </c>
      <c r="G142" s="18" t="b">
        <v>1</v>
      </c>
      <c r="H142" s="18" t="str">
        <f>A143</f>
        <v>https://w3id.org/mobilitydcat-ap/mobility-theme/accessibility-and-paths-within-facilities</v>
      </c>
      <c r="I142" s="17" t="s">
        <v>44</v>
      </c>
    </row>
    <row r="143" spans="1:9" s="23" customFormat="1" x14ac:dyDescent="0.25">
      <c r="A143" s="20" t="str">
        <f t="shared" si="2"/>
        <v>https://w3id.org/mobilitydcat-ap/mobility-theme/accessibility-and-paths-within-facilities</v>
      </c>
      <c r="B143" s="24" t="s">
        <v>166</v>
      </c>
      <c r="C143" s="24"/>
      <c r="D143" s="22"/>
      <c r="E143" s="22"/>
      <c r="F143" s="22" t="str">
        <f>A25</f>
        <v>https://w3id.org/mobilitydcat-ap/mobility-theme/data-content-sub-category</v>
      </c>
      <c r="H143" s="22"/>
      <c r="I143" s="22" t="s">
        <v>44</v>
      </c>
    </row>
    <row r="144" spans="1:9" x14ac:dyDescent="0.25">
      <c r="A144" s="10" t="str">
        <f t="shared" si="2"/>
        <v>https://w3id.org/mobilitydcat-ap/mobility-theme/operational-calendar</v>
      </c>
      <c r="B144" s="8" t="s">
        <v>167</v>
      </c>
      <c r="C144" s="8"/>
      <c r="F144" s="1" t="str">
        <f>A25</f>
        <v>https://w3id.org/mobilitydcat-ap/mobility-theme/data-content-sub-category</v>
      </c>
      <c r="I144" s="1" t="s">
        <v>44</v>
      </c>
    </row>
    <row r="145" spans="1:9" x14ac:dyDescent="0.25">
      <c r="A145" s="10" t="str">
        <f t="shared" si="2"/>
        <v>https://w3id.org/mobilitydcat-ap/mobility-theme/connection-links</v>
      </c>
      <c r="B145" s="8" t="s">
        <v>168</v>
      </c>
      <c r="C145" s="8"/>
      <c r="F145" s="1" t="str">
        <f>A25</f>
        <v>https://w3id.org/mobilitydcat-ap/mobility-theme/data-content-sub-category</v>
      </c>
      <c r="I145" s="1" t="s">
        <v>44</v>
      </c>
    </row>
    <row r="146" spans="1:9" x14ac:dyDescent="0.25">
      <c r="A146" s="10" t="str">
        <f t="shared" si="2"/>
        <v>https://w3id.org/mobilitydcat-ap/mobility-theme/network-topology-and-routes-lines</v>
      </c>
      <c r="B146" s="8" t="s">
        <v>169</v>
      </c>
      <c r="C146" s="8"/>
      <c r="F146" s="1" t="str">
        <f>A25</f>
        <v>https://w3id.org/mobilitydcat-ap/mobility-theme/data-content-sub-category</v>
      </c>
      <c r="I146" s="1" t="s">
        <v>44</v>
      </c>
    </row>
    <row r="147" spans="1:9" x14ac:dyDescent="0.25">
      <c r="A147" s="10" t="str">
        <f t="shared" si="2"/>
        <v>https://w3id.org/mobilitydcat-ap/mobility-theme/transport-operators</v>
      </c>
      <c r="B147" s="8" t="s">
        <v>170</v>
      </c>
      <c r="C147" s="8"/>
      <c r="F147" s="1" t="str">
        <f>A25</f>
        <v>https://w3id.org/mobilitydcat-ap/mobility-theme/data-content-sub-category</v>
      </c>
      <c r="I147" s="1" t="s">
        <v>44</v>
      </c>
    </row>
    <row r="148" spans="1:9" x14ac:dyDescent="0.25">
      <c r="A148" s="10" t="str">
        <f t="shared" si="2"/>
        <v>https://w3id.org/mobilitydcat-ap/mobility-theme/timetables-static</v>
      </c>
      <c r="B148" s="8" t="s">
        <v>171</v>
      </c>
      <c r="C148" s="8"/>
      <c r="F148" s="1" t="str">
        <f>A25</f>
        <v>https://w3id.org/mobilitydcat-ap/mobility-theme/data-content-sub-category</v>
      </c>
      <c r="I148" s="1" t="s">
        <v>44</v>
      </c>
    </row>
    <row r="149" spans="1:9" x14ac:dyDescent="0.25">
      <c r="A149" s="10" t="str">
        <f t="shared" si="2"/>
        <v>https://w3id.org/mobilitydcat-ap/mobility-theme/real-time-estimated-departure-and-arrival-times</v>
      </c>
      <c r="B149" s="8" t="s">
        <v>172</v>
      </c>
      <c r="C149" s="8"/>
      <c r="F149" s="1" t="str">
        <f>A25</f>
        <v>https://w3id.org/mobilitydcat-ap/mobility-theme/data-content-sub-category</v>
      </c>
      <c r="I149" s="1" t="s">
        <v>44</v>
      </c>
    </row>
    <row r="150" spans="1:9" x14ac:dyDescent="0.25">
      <c r="A150" s="10" t="str">
        <f t="shared" si="2"/>
        <v>https://w3id.org/mobilitydcat-ap/mobility-theme/planned-interchanges-between-scheduled-services</v>
      </c>
      <c r="B150" s="8" t="s">
        <v>173</v>
      </c>
      <c r="C150" s="8"/>
      <c r="F150" s="1" t="str">
        <f>A25</f>
        <v>https://w3id.org/mobilitydcat-ap/mobility-theme/data-content-sub-category</v>
      </c>
      <c r="I150" s="1" t="s">
        <v>44</v>
      </c>
    </row>
    <row r="151" spans="1:9" x14ac:dyDescent="0.25">
      <c r="A151" s="10" t="str">
        <f t="shared" si="2"/>
        <v>https://w3id.org/mobilitydcat-ap/mobility-theme/hours-of-operation</v>
      </c>
      <c r="B151" s="8" t="s">
        <v>174</v>
      </c>
      <c r="C151" s="8"/>
      <c r="D151" s="1" t="s">
        <v>175</v>
      </c>
      <c r="F151" s="1" t="str">
        <f>A25</f>
        <v>https://w3id.org/mobilitydcat-ap/mobility-theme/data-content-sub-category</v>
      </c>
      <c r="I151" s="1" t="s">
        <v>44</v>
      </c>
    </row>
    <row r="152" spans="1:9" s="18" customFormat="1" x14ac:dyDescent="0.25">
      <c r="A152" s="15" t="str">
        <f t="shared" si="2"/>
        <v>https://w3id.org/mobilitydcat-ap/mobility-theme/vehicle-details</v>
      </c>
      <c r="B152" s="16" t="s">
        <v>176</v>
      </c>
      <c r="C152" s="16"/>
      <c r="D152" s="17"/>
      <c r="E152" s="17"/>
      <c r="F152" s="17" t="str">
        <f>A25</f>
        <v>https://w3id.org/mobilitydcat-ap/mobility-theme/data-content-sub-category</v>
      </c>
      <c r="G152" s="18" t="b">
        <v>1</v>
      </c>
      <c r="H152" s="17" t="str">
        <f>A153</f>
        <v>https://w3id.org/mobilitydcat-ap/mobility-theme/transport-operator-vehicle-fleet-description</v>
      </c>
      <c r="I152" s="17" t="s">
        <v>44</v>
      </c>
    </row>
    <row r="153" spans="1:9" s="23" customFormat="1" ht="30" x14ac:dyDescent="0.25">
      <c r="A153" s="20" t="str">
        <f t="shared" si="2"/>
        <v>https://w3id.org/mobilitydcat-ap/mobility-theme/transport-operator-vehicle-fleet-description</v>
      </c>
      <c r="B153" s="24" t="s">
        <v>177</v>
      </c>
      <c r="C153" s="24"/>
      <c r="D153" s="22" t="s">
        <v>178</v>
      </c>
      <c r="E153" s="22"/>
      <c r="F153" s="22" t="str">
        <f>A25</f>
        <v>https://w3id.org/mobilitydcat-ap/mobility-theme/data-content-sub-category</v>
      </c>
      <c r="H153" s="22"/>
      <c r="I153" s="22" t="s">
        <v>44</v>
      </c>
    </row>
    <row r="154" spans="1:9" s="18" customFormat="1" x14ac:dyDescent="0.25">
      <c r="A154" s="15" t="str">
        <f t="shared" si="2"/>
        <v>https://w3id.org/mobilitydcat-ap/mobility-theme/environmental-standards-for-vehicles</v>
      </c>
      <c r="B154" s="16" t="s">
        <v>179</v>
      </c>
      <c r="C154" s="16"/>
      <c r="D154" s="17"/>
      <c r="E154" s="17"/>
      <c r="F154" s="17" t="str">
        <f>A25</f>
        <v>https://w3id.org/mobilitydcat-ap/mobility-theme/data-content-sub-category</v>
      </c>
      <c r="G154" s="18" t="b">
        <v>1</v>
      </c>
      <c r="H154" s="17" t="str">
        <f>A153</f>
        <v>https://w3id.org/mobilitydcat-ap/mobility-theme/transport-operator-vehicle-fleet-description</v>
      </c>
      <c r="I154" s="17" t="s">
        <v>44</v>
      </c>
    </row>
    <row r="155" spans="1:9" x14ac:dyDescent="0.25">
      <c r="A155" s="10" t="str">
        <f t="shared" ref="A155:A200" si="5">_xlfn.CONCAT($B$1,"/",SUBSTITUTE(SUBSTITUTE(LOWER(SUBSTITUTE(B155,"/","-"))," ","-"),",",""))</f>
        <v>https://w3id.org/mobilitydcat-ap/mobility-theme/disruptions-delays-cancellations</v>
      </c>
      <c r="B155" s="8" t="s">
        <v>180</v>
      </c>
      <c r="C155" s="8"/>
      <c r="F155" s="1" t="str">
        <f>A25</f>
        <v>https://w3id.org/mobilitydcat-ap/mobility-theme/data-content-sub-category</v>
      </c>
      <c r="I155" s="1" t="s">
        <v>44</v>
      </c>
    </row>
    <row r="156" spans="1:9" x14ac:dyDescent="0.25">
      <c r="A156" s="10" t="str">
        <f t="shared" si="5"/>
        <v>https://w3id.org/mobilitydcat-ap/mobility-theme/basic-common-standard-fares</v>
      </c>
      <c r="B156" s="8" t="s">
        <v>181</v>
      </c>
      <c r="C156" s="8"/>
      <c r="F156" s="1" t="str">
        <f>A25</f>
        <v>https://w3id.org/mobilitydcat-ap/mobility-theme/data-content-sub-category</v>
      </c>
      <c r="I156" s="1" t="s">
        <v>44</v>
      </c>
    </row>
    <row r="157" spans="1:9" x14ac:dyDescent="0.25">
      <c r="A157" s="10" t="str">
        <f t="shared" si="5"/>
        <v>https://w3id.org/mobilitydcat-ap/mobility-theme/passenger-classes</v>
      </c>
      <c r="B157" s="8" t="s">
        <v>182</v>
      </c>
      <c r="C157" s="8"/>
      <c r="F157" s="1" t="str">
        <f>A25</f>
        <v>https://w3id.org/mobilitydcat-ap/mobility-theme/data-content-sub-category</v>
      </c>
      <c r="I157" s="1" t="s">
        <v>44</v>
      </c>
    </row>
    <row r="158" spans="1:9" x14ac:dyDescent="0.25">
      <c r="A158" s="10" t="str">
        <f t="shared" si="5"/>
        <v>https://w3id.org/mobilitydcat-ap/mobility-theme/common-fare-products</v>
      </c>
      <c r="B158" s="8" t="s">
        <v>183</v>
      </c>
      <c r="C158" s="8"/>
      <c r="F158" s="1" t="str">
        <f>A25</f>
        <v>https://w3id.org/mobilitydcat-ap/mobility-theme/data-content-sub-category</v>
      </c>
      <c r="I158" s="1" t="s">
        <v>44</v>
      </c>
    </row>
    <row r="159" spans="1:9" x14ac:dyDescent="0.25">
      <c r="A159" s="10" t="str">
        <f t="shared" si="5"/>
        <v>https://w3id.org/mobilitydcat-ap/mobility-theme/special-fare-products</v>
      </c>
      <c r="B159" s="8" t="s">
        <v>184</v>
      </c>
      <c r="C159" s="8"/>
      <c r="F159" s="1" t="str">
        <f>A25</f>
        <v>https://w3id.org/mobilitydcat-ap/mobility-theme/data-content-sub-category</v>
      </c>
      <c r="I159" s="1" t="s">
        <v>44</v>
      </c>
    </row>
    <row r="160" spans="1:9" ht="30" x14ac:dyDescent="0.25">
      <c r="A160" s="10" t="str">
        <f t="shared" si="5"/>
        <v>https://w3id.org/mobilitydcat-ap/mobility-theme/basic-commercial-conditions</v>
      </c>
      <c r="B160" s="8" t="s">
        <v>185</v>
      </c>
      <c r="C160" s="8"/>
      <c r="D160" s="1" t="s">
        <v>186</v>
      </c>
      <c r="F160" s="1" t="str">
        <f>A25</f>
        <v>https://w3id.org/mobilitydcat-ap/mobility-theme/data-content-sub-category</v>
      </c>
      <c r="I160" s="1" t="s">
        <v>44</v>
      </c>
    </row>
    <row r="161" spans="1:9" s="18" customFormat="1" x14ac:dyDescent="0.25">
      <c r="A161" s="15" t="str">
        <f t="shared" si="5"/>
        <v>https://w3id.org/mobilitydcat-ap/mobility-theme/purchase-information</v>
      </c>
      <c r="B161" s="16" t="s">
        <v>187</v>
      </c>
      <c r="C161" s="16"/>
      <c r="D161" s="17"/>
      <c r="E161" s="17"/>
      <c r="F161" s="17" t="str">
        <f>A25</f>
        <v>https://w3id.org/mobilitydcat-ap/mobility-theme/data-content-sub-category</v>
      </c>
      <c r="G161" s="18" t="b">
        <v>1</v>
      </c>
      <c r="H161" s="17" t="str">
        <f>A162</f>
        <v>https://w3id.org/mobilitydcat-ap/mobility-theme/purchase-and-reservation-information</v>
      </c>
      <c r="I161" s="17" t="s">
        <v>44</v>
      </c>
    </row>
    <row r="162" spans="1:9" s="23" customFormat="1" x14ac:dyDescent="0.25">
      <c r="A162" s="20" t="str">
        <f t="shared" si="5"/>
        <v>https://w3id.org/mobilitydcat-ap/mobility-theme/purchase-and-reservation-information</v>
      </c>
      <c r="B162" s="24" t="s">
        <v>188</v>
      </c>
      <c r="C162" s="24"/>
      <c r="D162" s="22"/>
      <c r="E162" s="22"/>
      <c r="F162" s="22" t="str">
        <f>A25</f>
        <v>https://w3id.org/mobilitydcat-ap/mobility-theme/data-content-sub-category</v>
      </c>
      <c r="H162" s="22"/>
      <c r="I162" s="23" t="s">
        <v>44</v>
      </c>
    </row>
    <row r="163" spans="1:9" s="18" customFormat="1" x14ac:dyDescent="0.25">
      <c r="A163" s="15" t="str">
        <f t="shared" ref="A163" si="6">_xlfn.CONCAT($B$1,"/",SUBSTITUTE(SUBSTITUTE(LOWER(SUBSTITUTE(B163,"/","-"))," ","-"),",",""))</f>
        <v>https://w3id.org/mobilitydcat-ap/mobility-theme/defaut-transfer-times-at-interchanges</v>
      </c>
      <c r="B163" s="32" t="s">
        <v>189</v>
      </c>
      <c r="C163" s="16"/>
      <c r="D163" s="17"/>
      <c r="E163" s="17"/>
      <c r="F163" s="17" t="str">
        <f>A24</f>
        <v>https://w3id.org/mobilitydcat-ap/mobility-theme/data-content-category</v>
      </c>
      <c r="G163" s="18" t="b">
        <v>1</v>
      </c>
      <c r="H163" s="17" t="str">
        <f>A164</f>
        <v>https://w3id.org/mobilitydcat-ap/mobility-theme/default-transfer-times-at-interchanges</v>
      </c>
      <c r="I163" s="18" t="s">
        <v>44</v>
      </c>
    </row>
    <row r="164" spans="1:9" s="23" customFormat="1" x14ac:dyDescent="0.25">
      <c r="A164" s="20" t="str">
        <f t="shared" si="5"/>
        <v>https://w3id.org/mobilitydcat-ap/mobility-theme/default-transfer-times-at-interchanges</v>
      </c>
      <c r="B164" s="30" t="s">
        <v>190</v>
      </c>
      <c r="C164" s="24"/>
      <c r="D164" s="22"/>
      <c r="E164" s="22"/>
      <c r="F164" s="22" t="str">
        <f>A25</f>
        <v>https://w3id.org/mobilitydcat-ap/mobility-theme/data-content-sub-category</v>
      </c>
      <c r="H164" s="22"/>
      <c r="I164" s="23" t="s">
        <v>44</v>
      </c>
    </row>
    <row r="165" spans="1:9" s="23" customFormat="1" x14ac:dyDescent="0.25">
      <c r="A165" s="20" t="str">
        <f t="shared" si="5"/>
        <v>https://w3id.org/mobilitydcat-ap/mobility-theme/existence-of-assistance-services</v>
      </c>
      <c r="B165" s="30" t="s">
        <v>191</v>
      </c>
      <c r="C165" s="24"/>
      <c r="D165" s="22" t="s">
        <v>192</v>
      </c>
      <c r="E165" s="22"/>
      <c r="F165" s="22" t="str">
        <f>A25</f>
        <v>https://w3id.org/mobilitydcat-ap/mobility-theme/data-content-sub-category</v>
      </c>
      <c r="H165" s="22"/>
      <c r="I165" s="22" t="s">
        <v>44</v>
      </c>
    </row>
    <row r="166" spans="1:9" s="23" customFormat="1" x14ac:dyDescent="0.25">
      <c r="A166" s="20" t="str">
        <f t="shared" si="5"/>
        <v>https://w3id.org/mobilitydcat-ap/mobility-theme/historic-travel-and-traffic-data-and-delays</v>
      </c>
      <c r="B166" s="30" t="s">
        <v>193</v>
      </c>
      <c r="C166" s="24"/>
      <c r="D166" s="22"/>
      <c r="E166" s="22"/>
      <c r="F166" s="22" t="str">
        <f>A25</f>
        <v>https://w3id.org/mobilitydcat-ap/mobility-theme/data-content-sub-category</v>
      </c>
      <c r="H166" s="22"/>
      <c r="I166" s="22" t="s">
        <v>44</v>
      </c>
    </row>
    <row r="167" spans="1:9" s="23" customFormat="1" x14ac:dyDescent="0.25">
      <c r="A167" s="20" t="str">
        <f t="shared" si="5"/>
        <v>https://w3id.org/mobilitydcat-ap/mobility-theme/observed-data-on-delays-and-passing-time</v>
      </c>
      <c r="B167" s="30" t="s">
        <v>194</v>
      </c>
      <c r="C167" s="24"/>
      <c r="D167" s="22"/>
      <c r="E167" s="22"/>
      <c r="F167" s="22" t="str">
        <f>A25</f>
        <v>https://w3id.org/mobilitydcat-ap/mobility-theme/data-content-sub-category</v>
      </c>
      <c r="H167" s="22"/>
      <c r="I167" s="22" t="s">
        <v>44</v>
      </c>
    </row>
    <row r="168" spans="1:9" s="23" customFormat="1" x14ac:dyDescent="0.25">
      <c r="A168" s="20" t="str">
        <f t="shared" si="5"/>
        <v>https://w3id.org/mobilitydcat-ap/mobility-theme/observed-data-on-cancellations</v>
      </c>
      <c r="B168" s="30" t="s">
        <v>195</v>
      </c>
      <c r="C168" s="24"/>
      <c r="D168" s="22"/>
      <c r="E168" s="22"/>
      <c r="F168" s="22" t="str">
        <f>A25</f>
        <v>https://w3id.org/mobilitydcat-ap/mobility-theme/data-content-sub-category</v>
      </c>
      <c r="H168" s="22"/>
      <c r="I168" s="22" t="s">
        <v>44</v>
      </c>
    </row>
    <row r="169" spans="1:9" s="23" customFormat="1" x14ac:dyDescent="0.25">
      <c r="A169" s="20" t="str">
        <f t="shared" si="5"/>
        <v>https://w3id.org/mobilitydcat-ap/mobility-theme/vehicle-occupancy</v>
      </c>
      <c r="B169" s="30" t="s">
        <v>196</v>
      </c>
      <c r="C169" s="24"/>
      <c r="D169" s="22" t="s">
        <v>197</v>
      </c>
      <c r="E169" s="22"/>
      <c r="F169" s="22" t="str">
        <f>A25</f>
        <v>https://w3id.org/mobilitydcat-ap/mobility-theme/data-content-sub-category</v>
      </c>
      <c r="H169" s="22"/>
      <c r="I169" s="22" t="s">
        <v>44</v>
      </c>
    </row>
    <row r="170" spans="1:9" s="18" customFormat="1" ht="12.75" customHeight="1" x14ac:dyDescent="0.25">
      <c r="A170" s="15" t="str">
        <f t="shared" ref="A170" si="7">_xlfn.CONCAT($B$1,"/",SUBSTITUTE(SUBSTITUTE(LOWER(SUBSTITUTE(B170,"/","-"))," ","-"),",",""))</f>
        <v>https://w3id.org/mobilitydcat-ap/mobility-theme/public-transport-non-scheduled-transport</v>
      </c>
      <c r="B170" s="16" t="s">
        <v>198</v>
      </c>
      <c r="C170" s="16"/>
      <c r="D170" s="17"/>
      <c r="E170" s="17"/>
      <c r="F170" s="17" t="str">
        <f>A24</f>
        <v>https://w3id.org/mobilitydcat-ap/mobility-theme/data-content-category</v>
      </c>
      <c r="G170" s="18" t="b">
        <v>1</v>
      </c>
      <c r="H170" s="17" t="str">
        <f>A135</f>
        <v>https://w3id.org/mobilitydcat-ap/mobility-theme/public-transport-and-on-demand-services</v>
      </c>
      <c r="I170" s="17" t="s">
        <v>44</v>
      </c>
    </row>
    <row r="171" spans="1:9" s="18" customFormat="1" x14ac:dyDescent="0.25">
      <c r="A171" s="15" t="str">
        <f t="shared" si="5"/>
        <v>https://w3id.org/mobilitydcat-ap/mobility-theme/provider-data</v>
      </c>
      <c r="B171" s="16" t="s">
        <v>199</v>
      </c>
      <c r="C171" s="16"/>
      <c r="D171" s="17"/>
      <c r="E171" s="17"/>
      <c r="F171" s="17" t="str">
        <f>A25</f>
        <v>https://w3id.org/mobilitydcat-ap/mobility-theme/data-content-sub-category</v>
      </c>
      <c r="G171" s="18" t="b">
        <v>1</v>
      </c>
      <c r="H171" s="18" t="s">
        <v>200</v>
      </c>
      <c r="I171" s="17" t="s">
        <v>44</v>
      </c>
    </row>
    <row r="172" spans="1:9" s="23" customFormat="1" x14ac:dyDescent="0.25">
      <c r="A172" s="20" t="str">
        <f t="shared" si="5"/>
        <v>https://w3id.org/mobilitydcat-ap/mobility-theme/public-transport-provider-data</v>
      </c>
      <c r="B172" s="24" t="s">
        <v>201</v>
      </c>
      <c r="C172" s="24"/>
      <c r="D172" s="22"/>
      <c r="E172" s="22"/>
      <c r="F172" s="22" t="str">
        <f>A25</f>
        <v>https://w3id.org/mobilitydcat-ap/mobility-theme/data-content-sub-category</v>
      </c>
      <c r="H172" s="22"/>
      <c r="I172" s="22" t="s">
        <v>44</v>
      </c>
    </row>
    <row r="173" spans="1:9" s="18" customFormat="1" ht="30" x14ac:dyDescent="0.25">
      <c r="A173" s="15" t="str">
        <f t="shared" si="5"/>
        <v>https://w3id.org/mobilitydcat-ap/mobility-theme/service-areas-and-service-times</v>
      </c>
      <c r="B173" s="16" t="s">
        <v>202</v>
      </c>
      <c r="C173" s="16"/>
      <c r="D173" s="17"/>
      <c r="E173" s="17"/>
      <c r="F173" s="17" t="str">
        <f>A25</f>
        <v>https://w3id.org/mobilitydcat-ap/mobility-theme/data-content-sub-category</v>
      </c>
      <c r="G173" s="18" t="b">
        <v>1</v>
      </c>
      <c r="H173" s="17" t="str">
        <f>_xlfn.CONCAT(A174, ", ",A151)</f>
        <v>https://w3id.org/mobilitydcat-ap/mobility-theme/service-area, https://w3id.org/mobilitydcat-ap/mobility-theme/hours-of-operation</v>
      </c>
      <c r="I173" s="17" t="s">
        <v>44</v>
      </c>
    </row>
    <row r="174" spans="1:9" s="23" customFormat="1" x14ac:dyDescent="0.25">
      <c r="A174" s="20" t="str">
        <f t="shared" si="5"/>
        <v>https://w3id.org/mobilitydcat-ap/mobility-theme/service-area</v>
      </c>
      <c r="B174" s="24" t="s">
        <v>203</v>
      </c>
      <c r="C174" s="24"/>
      <c r="D174" s="22"/>
      <c r="E174" s="22"/>
      <c r="F174" s="22" t="str">
        <f>A25</f>
        <v>https://w3id.org/mobilitydcat-ap/mobility-theme/data-content-sub-category</v>
      </c>
      <c r="H174" s="22"/>
      <c r="I174" s="31" t="s">
        <v>44</v>
      </c>
    </row>
    <row r="175" spans="1:9" s="18" customFormat="1" x14ac:dyDescent="0.25">
      <c r="A175" s="15" t="str">
        <f t="shared" si="5"/>
        <v>https://w3id.org/mobilitydcat-ap/mobility-theme/locations-and-stations</v>
      </c>
      <c r="B175" s="16" t="s">
        <v>204</v>
      </c>
      <c r="C175" s="16"/>
      <c r="D175" s="17"/>
      <c r="E175" s="17"/>
      <c r="F175" s="17" t="str">
        <f>A25</f>
        <v>https://w3id.org/mobilitydcat-ap/mobility-theme/data-content-sub-category</v>
      </c>
      <c r="G175" s="18" t="b">
        <v>1</v>
      </c>
      <c r="H175" s="17" t="str">
        <f>A137</f>
        <v>https://w3id.org/mobilitydcat-ap/mobility-theme/facility-location-and-features</v>
      </c>
      <c r="I175" s="18" t="s">
        <v>44</v>
      </c>
    </row>
    <row r="176" spans="1:9" s="18" customFormat="1" ht="60" x14ac:dyDescent="0.25">
      <c r="A176" s="15" t="str">
        <f t="shared" si="5"/>
        <v>https://w3id.org/mobilitydcat-ap/mobility-theme/fares</v>
      </c>
      <c r="B176" s="16" t="s">
        <v>205</v>
      </c>
      <c r="C176" s="16"/>
      <c r="D176" s="17"/>
      <c r="E176" s="17"/>
      <c r="F176" s="17" t="str">
        <f>A25</f>
        <v>https://w3id.org/mobilitydcat-ap/mobility-theme/data-content-sub-category</v>
      </c>
      <c r="G176" s="18" t="b">
        <v>1</v>
      </c>
      <c r="H176" s="17" t="str">
        <f>_xlfn.CONCAT(A157, ", ", _xlfn.TEXTJOIN(", ",,A158:A160))</f>
        <v>https://w3id.org/mobilitydcat-ap/mobility-theme/passenger-classes, https://w3id.org/mobilitydcat-ap/mobility-theme/common-fare-products, https://w3id.org/mobilitydcat-ap/mobility-theme/special-fare-products, https://w3id.org/mobilitydcat-ap/mobility-theme/basic-commercial-conditions</v>
      </c>
      <c r="I176" s="17" t="s">
        <v>44</v>
      </c>
    </row>
    <row r="177" spans="1:9" s="18" customFormat="1" x14ac:dyDescent="0.25">
      <c r="A177" s="15" t="str">
        <f t="shared" si="5"/>
        <v>https://w3id.org/mobilitydcat-ap/mobility-theme/reservation-and-purchase-options</v>
      </c>
      <c r="B177" s="16" t="s">
        <v>206</v>
      </c>
      <c r="C177" s="16"/>
      <c r="D177" s="17"/>
      <c r="E177" s="17"/>
      <c r="F177" s="17" t="str">
        <f>A25</f>
        <v>https://w3id.org/mobilitydcat-ap/mobility-theme/data-content-sub-category</v>
      </c>
      <c r="G177" s="18" t="b">
        <v>1</v>
      </c>
      <c r="H177" s="17" t="str">
        <f>A162</f>
        <v>https://w3id.org/mobilitydcat-ap/mobility-theme/purchase-and-reservation-information</v>
      </c>
      <c r="I177" s="17" t="s">
        <v>44</v>
      </c>
    </row>
    <row r="178" spans="1:9" x14ac:dyDescent="0.25">
      <c r="A178" s="10" t="str">
        <f t="shared" si="5"/>
        <v>https://w3id.org/mobilitydcat-ap/mobility-theme/accessibility-information-for-vehicles</v>
      </c>
      <c r="B178" s="27" t="s">
        <v>207</v>
      </c>
      <c r="C178" s="8"/>
      <c r="F178" s="1" t="str">
        <f>A25</f>
        <v>https://w3id.org/mobilitydcat-ap/mobility-theme/data-content-sub-category</v>
      </c>
      <c r="I178" s="1" t="s">
        <v>44</v>
      </c>
    </row>
    <row r="179" spans="1:9" s="18" customFormat="1" ht="19.5" customHeight="1" x14ac:dyDescent="0.25">
      <c r="A179" s="15" t="str">
        <f t="shared" si="5"/>
        <v>https://w3id.org/mobilitydcat-ap/mobility-theme/sharing-and-hiring-services</v>
      </c>
      <c r="B179" s="16" t="s">
        <v>208</v>
      </c>
      <c r="C179" s="16"/>
      <c r="D179" s="17"/>
      <c r="E179" s="17"/>
      <c r="F179" s="17" t="str">
        <f>A24</f>
        <v>https://w3id.org/mobilitydcat-ap/mobility-theme/data-content-category</v>
      </c>
      <c r="H179" s="17"/>
      <c r="I179" s="17" t="s">
        <v>44</v>
      </c>
    </row>
    <row r="180" spans="1:9" s="23" customFormat="1" ht="198" customHeight="1" x14ac:dyDescent="0.25">
      <c r="A180" s="20" t="str">
        <f t="shared" si="5"/>
        <v>https://w3id.org/mobilitydcat-ap/mobility-theme/sharing-hiring-and-renting-services</v>
      </c>
      <c r="B180" s="9" t="s">
        <v>209</v>
      </c>
      <c r="C180" s="24"/>
      <c r="D180" s="22"/>
      <c r="E180" s="22" t="str">
        <f>_xlfn.TEXTJOIN(", ",,A181:A197)</f>
        <v>https://w3id.org/mobilitydcat-ap/mobility-theme/bike-sharing-locations-and-stations, https://w3id.org/mobilitydcat-ap/mobility-theme/car-sharing-locations-and-stations, https://w3id.org/mobilitydcat-ap/mobility-theme/bike-hiring-stations, https://w3id.org/mobilitydcat-ap/mobility-theme/car-hiring-stations, https://w3id.org/mobilitydcat-ap/mobility-theme/e-scooter-sharing-locations-and-stations, https://w3id.org/mobilitydcat-ap/mobility-theme/car-sharing-availability, https://w3id.org/mobilitydcat-ap/mobility-theme/bike-sharing-availability, https://w3id.org/mobilitydcat-ap/mobility-theme/car-hiring-availability, https://w3id.org/mobilitydcat-ap/mobility-theme/bike-hiring-availability, https://w3id.org/mobilitydcat-ap/mobility-theme/e-scooter-sharing-availability, https://w3id.org/mobilitydcat-ap/mobility-theme/service-locations-and-stations, https://w3id.org/mobilitydcat-ap/mobility-theme/service-vehicle-fleet-description, https://w3id.org/mobilitydcat-ap/mobility-theme/service-real-time-availability, https://w3id.org/mobilitydcat-ap/mobility-theme/service-payment-methods, https://w3id.org/mobilitydcat-ap/mobility-theme/service-zones, https://w3id.org/mobilitydcat-ap/mobility-theme/payment-methods, https://w3id.org/mobilitydcat-ap/mobility-theme/environmental-standards-for-vehicles</v>
      </c>
      <c r="F180" s="22" t="str">
        <f>A24</f>
        <v>https://w3id.org/mobilitydcat-ap/mobility-theme/data-content-category</v>
      </c>
      <c r="H180" s="22"/>
      <c r="I180" s="22" t="s">
        <v>44</v>
      </c>
    </row>
    <row r="181" spans="1:9" s="18" customFormat="1" x14ac:dyDescent="0.25">
      <c r="A181" s="15" t="str">
        <f t="shared" si="5"/>
        <v>https://w3id.org/mobilitydcat-ap/mobility-theme/bike-sharing-locations-and-stations</v>
      </c>
      <c r="B181" s="16" t="s">
        <v>210</v>
      </c>
      <c r="C181" s="16"/>
      <c r="D181" s="17"/>
      <c r="E181" s="17"/>
      <c r="F181" s="17" t="str">
        <f>A25</f>
        <v>https://w3id.org/mobilitydcat-ap/mobility-theme/data-content-sub-category</v>
      </c>
      <c r="G181" s="18" t="b">
        <v>1</v>
      </c>
      <c r="H181" s="17" t="str">
        <f>A191</f>
        <v>https://w3id.org/mobilitydcat-ap/mobility-theme/service-locations-and-stations</v>
      </c>
      <c r="I181" s="18" t="s">
        <v>44</v>
      </c>
    </row>
    <row r="182" spans="1:9" s="18" customFormat="1" x14ac:dyDescent="0.25">
      <c r="A182" s="15" t="str">
        <f t="shared" si="5"/>
        <v>https://w3id.org/mobilitydcat-ap/mobility-theme/car-sharing-locations-and-stations</v>
      </c>
      <c r="B182" s="16" t="s">
        <v>211</v>
      </c>
      <c r="C182" s="16"/>
      <c r="D182" s="17"/>
      <c r="E182" s="17"/>
      <c r="F182" s="17" t="str">
        <f>A25</f>
        <v>https://w3id.org/mobilitydcat-ap/mobility-theme/data-content-sub-category</v>
      </c>
      <c r="G182" s="18" t="b">
        <v>1</v>
      </c>
      <c r="H182" s="17" t="str">
        <f>A191</f>
        <v>https://w3id.org/mobilitydcat-ap/mobility-theme/service-locations-and-stations</v>
      </c>
      <c r="I182" s="17" t="s">
        <v>44</v>
      </c>
    </row>
    <row r="183" spans="1:9" s="18" customFormat="1" x14ac:dyDescent="0.25">
      <c r="A183" s="15" t="str">
        <f t="shared" si="5"/>
        <v>https://w3id.org/mobilitydcat-ap/mobility-theme/bike-hiring-stations</v>
      </c>
      <c r="B183" s="16" t="s">
        <v>212</v>
      </c>
      <c r="C183" s="16"/>
      <c r="D183" s="17"/>
      <c r="E183" s="17"/>
      <c r="F183" s="17" t="str">
        <f>A25</f>
        <v>https://w3id.org/mobilitydcat-ap/mobility-theme/data-content-sub-category</v>
      </c>
      <c r="G183" s="18" t="b">
        <v>1</v>
      </c>
      <c r="H183" s="17" t="str">
        <f>A191</f>
        <v>https://w3id.org/mobilitydcat-ap/mobility-theme/service-locations-and-stations</v>
      </c>
      <c r="I183" s="17" t="s">
        <v>44</v>
      </c>
    </row>
    <row r="184" spans="1:9" s="18" customFormat="1" x14ac:dyDescent="0.25">
      <c r="A184" s="15" t="str">
        <f t="shared" si="5"/>
        <v>https://w3id.org/mobilitydcat-ap/mobility-theme/car-hiring-stations</v>
      </c>
      <c r="B184" s="16" t="s">
        <v>213</v>
      </c>
      <c r="C184" s="16"/>
      <c r="D184" s="17"/>
      <c r="E184" s="17"/>
      <c r="F184" s="17" t="str">
        <f>A25</f>
        <v>https://w3id.org/mobilitydcat-ap/mobility-theme/data-content-sub-category</v>
      </c>
      <c r="G184" s="18" t="b">
        <v>1</v>
      </c>
      <c r="H184" s="17" t="str">
        <f>A191</f>
        <v>https://w3id.org/mobilitydcat-ap/mobility-theme/service-locations-and-stations</v>
      </c>
      <c r="I184" s="17" t="s">
        <v>44</v>
      </c>
    </row>
    <row r="185" spans="1:9" s="18" customFormat="1" x14ac:dyDescent="0.25">
      <c r="A185" s="15" t="str">
        <f t="shared" si="5"/>
        <v>https://w3id.org/mobilitydcat-ap/mobility-theme/e-scooter-sharing-locations-and-stations</v>
      </c>
      <c r="B185" s="16" t="s">
        <v>214</v>
      </c>
      <c r="C185" s="16"/>
      <c r="D185" s="17"/>
      <c r="E185" s="17"/>
      <c r="F185" s="17" t="str">
        <f>A25</f>
        <v>https://w3id.org/mobilitydcat-ap/mobility-theme/data-content-sub-category</v>
      </c>
      <c r="G185" s="18" t="b">
        <v>1</v>
      </c>
      <c r="H185" s="17" t="str">
        <f>A191</f>
        <v>https://w3id.org/mobilitydcat-ap/mobility-theme/service-locations-and-stations</v>
      </c>
      <c r="I185" s="17" t="s">
        <v>44</v>
      </c>
    </row>
    <row r="186" spans="1:9" s="18" customFormat="1" ht="29.25" customHeight="1" x14ac:dyDescent="0.25">
      <c r="A186" s="15" t="str">
        <f t="shared" si="5"/>
        <v>https://w3id.org/mobilitydcat-ap/mobility-theme/car-sharing-availability</v>
      </c>
      <c r="B186" s="16" t="s">
        <v>215</v>
      </c>
      <c r="C186" s="16"/>
      <c r="D186" s="17"/>
      <c r="E186" s="17"/>
      <c r="F186" s="17" t="str">
        <f>A25</f>
        <v>https://w3id.org/mobilitydcat-ap/mobility-theme/data-content-sub-category</v>
      </c>
      <c r="G186" s="18" t="b">
        <v>1</v>
      </c>
      <c r="H186" s="17" t="str">
        <f>_xlfn.TEXTJOIN(", ",,A192,A193)</f>
        <v>https://w3id.org/mobilitydcat-ap/mobility-theme/service-vehicle-fleet-description, https://w3id.org/mobilitydcat-ap/mobility-theme/service-real-time-availability</v>
      </c>
      <c r="I186" s="17" t="s">
        <v>44</v>
      </c>
    </row>
    <row r="187" spans="1:9" s="18" customFormat="1" ht="30" x14ac:dyDescent="0.25">
      <c r="A187" s="15" t="str">
        <f t="shared" si="5"/>
        <v>https://w3id.org/mobilitydcat-ap/mobility-theme/bike-sharing-availability</v>
      </c>
      <c r="B187" s="16" t="s">
        <v>216</v>
      </c>
      <c r="C187" s="16"/>
      <c r="D187" s="17"/>
      <c r="E187" s="17"/>
      <c r="F187" s="17" t="str">
        <f>A25</f>
        <v>https://w3id.org/mobilitydcat-ap/mobility-theme/data-content-sub-category</v>
      </c>
      <c r="G187" s="18" t="b">
        <v>1</v>
      </c>
      <c r="H187" s="17" t="str">
        <f>_xlfn.TEXTJOIN(", ",,A192,A193)</f>
        <v>https://w3id.org/mobilitydcat-ap/mobility-theme/service-vehicle-fleet-description, https://w3id.org/mobilitydcat-ap/mobility-theme/service-real-time-availability</v>
      </c>
      <c r="I187" s="17" t="s">
        <v>44</v>
      </c>
    </row>
    <row r="188" spans="1:9" s="18" customFormat="1" ht="30" x14ac:dyDescent="0.25">
      <c r="A188" s="15" t="str">
        <f t="shared" si="5"/>
        <v>https://w3id.org/mobilitydcat-ap/mobility-theme/car-hiring-availability</v>
      </c>
      <c r="B188" s="16" t="s">
        <v>217</v>
      </c>
      <c r="C188" s="16"/>
      <c r="D188" s="17"/>
      <c r="E188" s="17"/>
      <c r="F188" s="17" t="str">
        <f>A25</f>
        <v>https://w3id.org/mobilitydcat-ap/mobility-theme/data-content-sub-category</v>
      </c>
      <c r="G188" s="18" t="b">
        <v>1</v>
      </c>
      <c r="H188" s="17" t="str">
        <f>_xlfn.TEXTJOIN(", ",,A192,A193)</f>
        <v>https://w3id.org/mobilitydcat-ap/mobility-theme/service-vehicle-fleet-description, https://w3id.org/mobilitydcat-ap/mobility-theme/service-real-time-availability</v>
      </c>
      <c r="I188" s="17" t="s">
        <v>44</v>
      </c>
    </row>
    <row r="189" spans="1:9" s="18" customFormat="1" ht="30" x14ac:dyDescent="0.25">
      <c r="A189" s="15" t="str">
        <f t="shared" si="5"/>
        <v>https://w3id.org/mobilitydcat-ap/mobility-theme/bike-hiring-availability</v>
      </c>
      <c r="B189" s="16" t="s">
        <v>218</v>
      </c>
      <c r="C189" s="16"/>
      <c r="D189" s="17"/>
      <c r="E189" s="17"/>
      <c r="F189" s="17" t="str">
        <f>A25</f>
        <v>https://w3id.org/mobilitydcat-ap/mobility-theme/data-content-sub-category</v>
      </c>
      <c r="G189" s="18" t="b">
        <v>1</v>
      </c>
      <c r="H189" s="17" t="str">
        <f>_xlfn.TEXTJOIN(", ",,A192,A193)</f>
        <v>https://w3id.org/mobilitydcat-ap/mobility-theme/service-vehicle-fleet-description, https://w3id.org/mobilitydcat-ap/mobility-theme/service-real-time-availability</v>
      </c>
      <c r="I189" s="17" t="s">
        <v>44</v>
      </c>
    </row>
    <row r="190" spans="1:9" s="18" customFormat="1" ht="30" x14ac:dyDescent="0.25">
      <c r="A190" s="15" t="str">
        <f>_xlfn.CONCAT($B$1,"/",SUBSTITUTE(SUBSTITUTE(LOWER(SUBSTITUTE(B190,"/","-"))," ","-"),",",""))</f>
        <v>https://w3id.org/mobilitydcat-ap/mobility-theme/e-scooter-sharing-availability</v>
      </c>
      <c r="B190" s="16" t="s">
        <v>219</v>
      </c>
      <c r="C190" s="16"/>
      <c r="D190" s="17"/>
      <c r="E190" s="17"/>
      <c r="F190" s="17" t="str">
        <f>A25</f>
        <v>https://w3id.org/mobilitydcat-ap/mobility-theme/data-content-sub-category</v>
      </c>
      <c r="G190" s="18" t="b">
        <v>1</v>
      </c>
      <c r="H190" s="17" t="str">
        <f>_xlfn.TEXTJOIN(", ",,A192,A193)</f>
        <v>https://w3id.org/mobilitydcat-ap/mobility-theme/service-vehicle-fleet-description, https://w3id.org/mobilitydcat-ap/mobility-theme/service-real-time-availability</v>
      </c>
      <c r="I190" s="17" t="s">
        <v>44</v>
      </c>
    </row>
    <row r="191" spans="1:9" s="23" customFormat="1" x14ac:dyDescent="0.25">
      <c r="A191" s="20" t="str">
        <f t="shared" si="5"/>
        <v>https://w3id.org/mobilitydcat-ap/mobility-theme/service-locations-and-stations</v>
      </c>
      <c r="B191" s="33" t="s">
        <v>220</v>
      </c>
      <c r="C191" s="24"/>
      <c r="D191" s="22"/>
      <c r="E191" s="22"/>
      <c r="F191" s="22" t="str">
        <f>A25</f>
        <v>https://w3id.org/mobilitydcat-ap/mobility-theme/data-content-sub-category</v>
      </c>
      <c r="H191" s="22"/>
      <c r="I191" s="22" t="s">
        <v>44</v>
      </c>
    </row>
    <row r="192" spans="1:9" s="23" customFormat="1" ht="30" x14ac:dyDescent="0.25">
      <c r="A192" s="20" t="str">
        <f t="shared" si="5"/>
        <v>https://w3id.org/mobilitydcat-ap/mobility-theme/service-vehicle-fleet-description</v>
      </c>
      <c r="B192" s="24" t="s">
        <v>221</v>
      </c>
      <c r="C192" s="24"/>
      <c r="D192" s="22" t="s">
        <v>222</v>
      </c>
      <c r="E192" s="22"/>
      <c r="F192" s="22" t="str">
        <f>A25</f>
        <v>https://w3id.org/mobilitydcat-ap/mobility-theme/data-content-sub-category</v>
      </c>
      <c r="H192" s="22"/>
      <c r="I192" s="22" t="s">
        <v>44</v>
      </c>
    </row>
    <row r="193" spans="1:9" s="23" customFormat="1" x14ac:dyDescent="0.25">
      <c r="A193" s="20" t="str">
        <f t="shared" si="5"/>
        <v>https://w3id.org/mobilitydcat-ap/mobility-theme/service-real-time-availability</v>
      </c>
      <c r="B193" s="24" t="s">
        <v>223</v>
      </c>
      <c r="C193" s="24"/>
      <c r="D193" s="22"/>
      <c r="E193" s="22"/>
      <c r="F193" s="22" t="str">
        <f>A25</f>
        <v>https://w3id.org/mobilitydcat-ap/mobility-theme/data-content-sub-category</v>
      </c>
      <c r="H193" s="22"/>
      <c r="I193" s="22" t="s">
        <v>44</v>
      </c>
    </row>
    <row r="194" spans="1:9" s="23" customFormat="1" x14ac:dyDescent="0.25">
      <c r="A194" s="20" t="str">
        <f t="shared" si="5"/>
        <v>https://w3id.org/mobilitydcat-ap/mobility-theme/service-payment-methods</v>
      </c>
      <c r="B194" s="24" t="s">
        <v>224</v>
      </c>
      <c r="C194" s="24"/>
      <c r="D194" s="22"/>
      <c r="E194" s="22"/>
      <c r="F194" s="22" t="str">
        <f>A25</f>
        <v>https://w3id.org/mobilitydcat-ap/mobility-theme/data-content-sub-category</v>
      </c>
      <c r="H194" s="22"/>
      <c r="I194" s="22" t="s">
        <v>44</v>
      </c>
    </row>
    <row r="195" spans="1:9" s="23" customFormat="1" ht="30" x14ac:dyDescent="0.25">
      <c r="A195" s="20" t="str">
        <f t="shared" si="5"/>
        <v>https://w3id.org/mobilitydcat-ap/mobility-theme/service-zones</v>
      </c>
      <c r="B195" s="21" t="s">
        <v>225</v>
      </c>
      <c r="C195" s="24"/>
      <c r="D195" s="22" t="s">
        <v>226</v>
      </c>
      <c r="E195" s="22"/>
      <c r="F195" s="22" t="str">
        <f>A25</f>
        <v>https://w3id.org/mobilitydcat-ap/mobility-theme/data-content-sub-category</v>
      </c>
      <c r="H195" s="22"/>
      <c r="I195" s="22" t="s">
        <v>44</v>
      </c>
    </row>
    <row r="196" spans="1:9" s="18" customFormat="1" x14ac:dyDescent="0.25">
      <c r="A196" s="15" t="str">
        <f t="shared" si="5"/>
        <v>https://w3id.org/mobilitydcat-ap/mobility-theme/payment-methods</v>
      </c>
      <c r="B196" s="16" t="s">
        <v>227</v>
      </c>
      <c r="C196" s="16"/>
      <c r="D196" s="17"/>
      <c r="E196" s="17"/>
      <c r="F196" s="17" t="str">
        <f>A25</f>
        <v>https://w3id.org/mobilitydcat-ap/mobility-theme/data-content-sub-category</v>
      </c>
      <c r="G196" s="18" t="b">
        <v>1</v>
      </c>
      <c r="H196" s="17" t="str">
        <f>A194</f>
        <v>https://w3id.org/mobilitydcat-ap/mobility-theme/service-payment-methods</v>
      </c>
      <c r="I196" s="17" t="s">
        <v>44</v>
      </c>
    </row>
    <row r="197" spans="1:9" s="18" customFormat="1" x14ac:dyDescent="0.25">
      <c r="A197" s="15" t="str">
        <f t="shared" si="5"/>
        <v>https://w3id.org/mobilitydcat-ap/mobility-theme/environmental-standards-for-vehicles</v>
      </c>
      <c r="B197" s="16" t="s">
        <v>179</v>
      </c>
      <c r="C197" s="16"/>
      <c r="D197" s="17"/>
      <c r="E197" s="17"/>
      <c r="F197" s="17" t="str">
        <f>A25</f>
        <v>https://w3id.org/mobilitydcat-ap/mobility-theme/data-content-sub-category</v>
      </c>
      <c r="G197" s="18" t="b">
        <v>1</v>
      </c>
      <c r="H197" s="17" t="str">
        <f>A192</f>
        <v>https://w3id.org/mobilitydcat-ap/mobility-theme/service-vehicle-fleet-description</v>
      </c>
      <c r="I197" s="17" t="s">
        <v>44</v>
      </c>
    </row>
    <row r="198" spans="1:9" x14ac:dyDescent="0.25">
      <c r="A198" s="10" t="str">
        <f t="shared" si="5"/>
        <v>https://w3id.org/mobilitydcat-ap/mobility-theme/air-and-space-travel</v>
      </c>
      <c r="B198" s="9" t="s">
        <v>228</v>
      </c>
      <c r="C198" s="8"/>
      <c r="F198" s="1" t="str">
        <f>A24</f>
        <v>https://w3id.org/mobilitydcat-ap/mobility-theme/data-content-category</v>
      </c>
      <c r="I198" s="1" t="s">
        <v>44</v>
      </c>
    </row>
    <row r="199" spans="1:9" x14ac:dyDescent="0.25">
      <c r="A199" s="10" t="str">
        <f t="shared" si="5"/>
        <v>https://w3id.org/mobilitydcat-ap/mobility-theme/waterways-and-water-bodies</v>
      </c>
      <c r="B199" s="9" t="s">
        <v>229</v>
      </c>
      <c r="C199" s="8"/>
      <c r="F199" s="1" t="str">
        <f>A24</f>
        <v>https://w3id.org/mobilitydcat-ap/mobility-theme/data-content-category</v>
      </c>
      <c r="I199" s="1" t="s">
        <v>44</v>
      </c>
    </row>
    <row r="200" spans="1:9" x14ac:dyDescent="0.25">
      <c r="A200" s="10" t="str">
        <f t="shared" si="5"/>
        <v>https://w3id.org/mobilitydcat-ap/mobility-theme/other</v>
      </c>
      <c r="B200" s="9" t="s">
        <v>230</v>
      </c>
      <c r="C200" s="8"/>
      <c r="F200" s="1" t="str">
        <f>A24</f>
        <v>https://w3id.org/mobilitydcat-ap/mobility-theme/data-content-category</v>
      </c>
    </row>
  </sheetData>
  <autoFilter ref="A23:I200" xr:uid="{00000000-0001-0000-0100-000000000000}"/>
  <phoneticPr fontId="3" type="noConversion"/>
  <hyperlinks>
    <hyperlink ref="B1" r:id="rId1" display="https://w3id.org/mobilitydcat-ap/data-content-category" xr:uid="{8D37ED2A-6F4C-4B2C-B212-84B5255111B4}"/>
    <hyperlink ref="B18" r:id="rId2" xr:uid="{F5CCEF78-A2AE-420B-8B79-2E74A78B421A}"/>
    <hyperlink ref="I23" r:id="rId3" xr:uid="{F154D901-F5CC-4BA5-8C60-65E6B8A7F74B}"/>
  </hyperlinks>
  <pageMargins left="0.7" right="0.7" top="0.75" bottom="0.75" header="0.3" footer="0.3"/>
  <pageSetup paperSize="3" fitToWidth="0" fitToHeight="0"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opLeftCell="A4" workbookViewId="0">
      <selection activeCell="D8" sqref="D8"/>
    </sheetView>
  </sheetViews>
  <sheetFormatPr defaultColWidth="11.42578125" defaultRowHeight="15" x14ac:dyDescent="0.25"/>
  <cols>
    <col min="1" max="1" width="43.85546875" customWidth="1"/>
    <col min="2" max="2" width="52.42578125" customWidth="1"/>
    <col min="3" max="3" width="47.140625" customWidth="1"/>
    <col min="4" max="4" width="51.5703125" customWidth="1"/>
  </cols>
  <sheetData>
    <row r="1" spans="1:4" x14ac:dyDescent="0.25">
      <c r="A1" s="4" t="s">
        <v>232</v>
      </c>
      <c r="B1" s="5" t="s">
        <v>233</v>
      </c>
      <c r="C1" s="5"/>
    </row>
    <row r="2" spans="1:4" x14ac:dyDescent="0.25">
      <c r="A2" s="4" t="s">
        <v>234</v>
      </c>
      <c r="B2" t="s">
        <v>235</v>
      </c>
      <c r="C2" s="6" t="s">
        <v>236</v>
      </c>
    </row>
    <row r="6" spans="1:4" x14ac:dyDescent="0.25">
      <c r="A6" s="2" t="s">
        <v>21</v>
      </c>
      <c r="B6" s="2" t="s">
        <v>237</v>
      </c>
      <c r="C6" s="2" t="s">
        <v>238</v>
      </c>
      <c r="D6" s="2" t="s">
        <v>239</v>
      </c>
    </row>
    <row r="7" spans="1:4" ht="90" x14ac:dyDescent="0.25">
      <c r="A7" s="10" t="s">
        <v>93</v>
      </c>
      <c r="B7" s="10" t="s">
        <v>240</v>
      </c>
      <c r="C7" s="28" t="s">
        <v>241</v>
      </c>
      <c r="D7" s="28" t="s">
        <v>242</v>
      </c>
    </row>
    <row r="8" spans="1:4" ht="90" x14ac:dyDescent="0.25">
      <c r="A8" s="10" t="s">
        <v>243</v>
      </c>
      <c r="B8" s="10" t="s">
        <v>240</v>
      </c>
      <c r="C8" s="28" t="s">
        <v>244</v>
      </c>
      <c r="D8" s="28" t="s">
        <v>245</v>
      </c>
    </row>
    <row r="9" spans="1:4" ht="75" x14ac:dyDescent="0.25">
      <c r="A9" s="10" t="s">
        <v>32</v>
      </c>
      <c r="B9" s="10" t="s">
        <v>240</v>
      </c>
      <c r="C9" s="28" t="s">
        <v>246</v>
      </c>
      <c r="D9" s="28" t="s">
        <v>247</v>
      </c>
    </row>
    <row r="10" spans="1:4" ht="60" x14ac:dyDescent="0.25">
      <c r="A10" s="34" t="s">
        <v>231</v>
      </c>
      <c r="B10" s="10" t="s">
        <v>240</v>
      </c>
      <c r="C10" s="28" t="s">
        <v>248</v>
      </c>
      <c r="D10" s="28" t="s">
        <v>249</v>
      </c>
    </row>
    <row r="11" spans="1:4" ht="90" x14ac:dyDescent="0.25">
      <c r="A11" s="10" t="s">
        <v>44</v>
      </c>
      <c r="B11" s="10" t="s">
        <v>240</v>
      </c>
      <c r="C11" s="28" t="s">
        <v>250</v>
      </c>
      <c r="D11" s="28" t="s">
        <v>251</v>
      </c>
    </row>
    <row r="12" spans="1:4" x14ac:dyDescent="0.25">
      <c r="A12" s="10"/>
      <c r="B12" s="10"/>
      <c r="D12" s="1"/>
    </row>
    <row r="13" spans="1:4" x14ac:dyDescent="0.25">
      <c r="A13" s="10"/>
      <c r="B13" s="10"/>
      <c r="D13" s="1"/>
    </row>
    <row r="14" spans="1:4" x14ac:dyDescent="0.25">
      <c r="A14" s="10"/>
      <c r="B14" s="10"/>
      <c r="D14" s="1"/>
    </row>
    <row r="15" spans="1:4" x14ac:dyDescent="0.25">
      <c r="A15" s="10"/>
      <c r="B15" s="10"/>
    </row>
    <row r="16" spans="1:4" x14ac:dyDescent="0.25">
      <c r="A16" s="10"/>
      <c r="B16" s="10"/>
    </row>
  </sheetData>
  <hyperlinks>
    <hyperlink ref="C2" r:id="rId1" xr:uid="{58DD5B5A-358F-42FC-86DA-2D96F83CCE39}"/>
    <hyperlink ref="B1" r:id="rId2" location="LegalResource" xr:uid="{CC29DB45-B227-4996-9295-3EC0D26352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2" ma:contentTypeDescription="Create a new document." ma:contentTypeScope="" ma:versionID="b912ec8155dd4e933917767331a7e7b9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E03DED-ABA6-41DC-A9F2-F03B3D97B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6cf2f-2f8b-4d8e-84b2-f14abf7317aa"/>
    <ds:schemaRef ds:uri="13e36eaf-61a1-47aa-b343-0f7d626aa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04F36C-6F34-42D8-A9E1-097741891E9D}">
  <ds:schemaRefs>
    <ds:schemaRef ds:uri="http://schemas.microsoft.com/office/2006/metadata/properties"/>
    <ds:schemaRef ds:uri="http://schemas.microsoft.com/office/infopath/2007/PartnerControls"/>
    <ds:schemaRef ds:uri="13e36eaf-61a1-47aa-b343-0f7d626aa9a0"/>
    <ds:schemaRef ds:uri="c386cf2f-2f8b-4d8e-84b2-f14abf7317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Delegated Regulations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2026-10-19T16:22:41Z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